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D:\UNAP\DECIMO SEMESTRE\ESTADISTICA ESPACIAL\IMPORTANTE\real\real\"/>
    </mc:Choice>
  </mc:AlternateContent>
  <xr:revisionPtr revIDLastSave="0" documentId="13_ncr:1_{E84EF120-B2BC-4FF6-B195-B633177DECA0}" xr6:coauthVersionLast="47" xr6:coauthVersionMax="47" xr10:uidLastSave="{00000000-0000-0000-0000-000000000000}"/>
  <bookViews>
    <workbookView xWindow="-120" yWindow="-120" windowWidth="20730" windowHeight="11040" xr2:uid="{D46990E0-95BE-4C6B-9B66-C162DD810E8B}"/>
  </bookViews>
  <sheets>
    <sheet name="Hoja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H98" i="1" l="1"/>
  <c r="T98" i="1"/>
  <c r="AH97" i="1"/>
  <c r="T97" i="1"/>
  <c r="AH96" i="1"/>
  <c r="T96" i="1"/>
  <c r="AH95" i="1"/>
  <c r="T95" i="1"/>
  <c r="AH94" i="1"/>
  <c r="T94" i="1"/>
  <c r="AH93" i="1"/>
  <c r="T93" i="1"/>
  <c r="AH92" i="1"/>
  <c r="T92" i="1"/>
  <c r="AH91" i="1"/>
  <c r="T91" i="1"/>
  <c r="AH90" i="1"/>
  <c r="T90" i="1"/>
  <c r="AH89" i="1"/>
  <c r="T89" i="1"/>
  <c r="AH88" i="1"/>
  <c r="T88" i="1"/>
  <c r="AH87" i="1"/>
  <c r="T87" i="1"/>
  <c r="AH86" i="1"/>
  <c r="T86" i="1"/>
  <c r="AH85" i="1"/>
  <c r="T85" i="1"/>
  <c r="AH84" i="1"/>
  <c r="T84" i="1"/>
  <c r="AH83" i="1"/>
  <c r="T83" i="1"/>
  <c r="AH82" i="1"/>
  <c r="T82" i="1"/>
  <c r="AH81" i="1"/>
  <c r="T81" i="1"/>
  <c r="AH80" i="1"/>
  <c r="T80" i="1"/>
  <c r="AH79" i="1"/>
  <c r="T79" i="1"/>
  <c r="AH78" i="1"/>
  <c r="T78" i="1"/>
  <c r="AH77" i="1"/>
  <c r="T77" i="1"/>
  <c r="AH76" i="1"/>
  <c r="T76" i="1"/>
  <c r="AH75" i="1"/>
  <c r="T75" i="1"/>
  <c r="AH74" i="1"/>
  <c r="T74" i="1"/>
  <c r="AH73" i="1"/>
  <c r="T73" i="1"/>
  <c r="AH72" i="1"/>
  <c r="T72" i="1"/>
  <c r="AH71" i="1"/>
  <c r="T71" i="1"/>
  <c r="AH70" i="1"/>
  <c r="T70" i="1"/>
  <c r="AH69" i="1"/>
  <c r="T69" i="1"/>
  <c r="AH68" i="1"/>
  <c r="T68" i="1"/>
  <c r="AH67" i="1"/>
  <c r="T67" i="1"/>
  <c r="AH66" i="1"/>
  <c r="T66" i="1"/>
  <c r="AH65" i="1"/>
  <c r="T65" i="1"/>
  <c r="AH64" i="1"/>
  <c r="T64" i="1"/>
  <c r="AH63" i="1"/>
  <c r="T63" i="1"/>
  <c r="AH62" i="1"/>
  <c r="T62" i="1"/>
  <c r="AH61" i="1"/>
  <c r="T61" i="1"/>
  <c r="AH60" i="1"/>
  <c r="T60" i="1"/>
  <c r="AH59" i="1"/>
  <c r="T59" i="1"/>
  <c r="AH58" i="1"/>
  <c r="T58" i="1"/>
  <c r="AH57" i="1"/>
  <c r="T57" i="1"/>
  <c r="AH56" i="1"/>
  <c r="T56" i="1"/>
  <c r="AH55" i="1"/>
  <c r="T55" i="1"/>
  <c r="AH54" i="1"/>
  <c r="T54" i="1"/>
  <c r="AH53" i="1"/>
  <c r="T53" i="1"/>
  <c r="AH52" i="1"/>
  <c r="T52" i="1"/>
  <c r="AH51" i="1"/>
  <c r="T51" i="1"/>
  <c r="AH50" i="1"/>
  <c r="T50" i="1"/>
  <c r="AH49" i="1"/>
  <c r="T49" i="1"/>
  <c r="AH48" i="1"/>
  <c r="T48" i="1"/>
  <c r="AH47" i="1"/>
  <c r="T47" i="1"/>
  <c r="AH46" i="1"/>
  <c r="T46" i="1"/>
  <c r="AH45" i="1"/>
  <c r="T45" i="1"/>
  <c r="AH44" i="1"/>
  <c r="T44" i="1"/>
  <c r="AH43" i="1"/>
  <c r="T43" i="1"/>
  <c r="AH42" i="1"/>
  <c r="T42" i="1"/>
  <c r="AH41" i="1"/>
  <c r="T41" i="1"/>
  <c r="AH40" i="1"/>
  <c r="T40" i="1"/>
  <c r="AH39" i="1"/>
  <c r="T39" i="1"/>
  <c r="AH38" i="1"/>
  <c r="T38" i="1"/>
  <c r="AH37" i="1"/>
  <c r="T37" i="1"/>
  <c r="AH36" i="1"/>
  <c r="T36" i="1"/>
  <c r="AH35" i="1"/>
  <c r="T35" i="1"/>
  <c r="AH34" i="1"/>
  <c r="T34" i="1"/>
  <c r="AH33" i="1"/>
  <c r="T33" i="1"/>
  <c r="AH32" i="1"/>
  <c r="T32" i="1"/>
  <c r="AH31" i="1"/>
  <c r="T31" i="1"/>
  <c r="AH30" i="1"/>
  <c r="T30" i="1"/>
  <c r="AH29" i="1"/>
  <c r="T29" i="1"/>
  <c r="AH28" i="1"/>
  <c r="T28" i="1"/>
  <c r="AH27" i="1"/>
  <c r="T27" i="1"/>
  <c r="AH26" i="1"/>
  <c r="T26" i="1"/>
  <c r="AH25" i="1"/>
  <c r="T25" i="1"/>
  <c r="AH24" i="1"/>
  <c r="T24" i="1"/>
  <c r="AH23" i="1"/>
  <c r="T23" i="1"/>
  <c r="AH22" i="1"/>
  <c r="T22" i="1"/>
  <c r="AH21" i="1"/>
  <c r="T21" i="1"/>
  <c r="AH20" i="1"/>
  <c r="T20" i="1"/>
  <c r="AH19" i="1"/>
  <c r="T19" i="1"/>
  <c r="AH18" i="1"/>
  <c r="T18" i="1"/>
  <c r="AH17" i="1"/>
  <c r="T17" i="1"/>
  <c r="AH16" i="1"/>
  <c r="T16" i="1"/>
  <c r="AH15" i="1"/>
  <c r="T15" i="1"/>
  <c r="AH14" i="1"/>
  <c r="T14" i="1"/>
  <c r="AH13" i="1"/>
  <c r="T13" i="1"/>
  <c r="AH12" i="1"/>
  <c r="T12" i="1"/>
  <c r="AH11" i="1"/>
  <c r="T11" i="1"/>
  <c r="AH10" i="1"/>
  <c r="T10" i="1"/>
  <c r="AH9" i="1"/>
  <c r="T9" i="1"/>
  <c r="AH8" i="1"/>
  <c r="T8" i="1"/>
  <c r="AH7" i="1"/>
  <c r="T7" i="1"/>
  <c r="AH6" i="1"/>
  <c r="T6" i="1"/>
  <c r="AH5" i="1"/>
  <c r="T5" i="1"/>
  <c r="AH4" i="1"/>
  <c r="T4" i="1"/>
  <c r="AH3" i="1"/>
  <c r="T3" i="1"/>
</calcChain>
</file>

<file path=xl/sharedStrings.xml><?xml version="1.0" encoding="utf-8"?>
<sst xmlns="http://schemas.openxmlformats.org/spreadsheetml/2006/main" count="3038" uniqueCount="897">
  <si>
    <t>E001</t>
  </si>
  <si>
    <t>P4</t>
  </si>
  <si>
    <t>Osama Mohammed Saleh Abdullah</t>
  </si>
  <si>
    <t>IOP Conference Series: Earth and Environmental Science</t>
  </si>
  <si>
    <t>Pattern of Distribution of Spatial Phenomena to Communities Prevailing in Mount Gara Using Function L(r)</t>
  </si>
  <si>
    <t>10.1088/1755-1315/923/1/012026</t>
  </si>
  <si>
    <t>Otra</t>
  </si>
  <si>
    <t>Distribución de árboles</t>
  </si>
  <si>
    <t>IRQ</t>
  </si>
  <si>
    <t>Irak</t>
  </si>
  <si>
    <t>Asia</t>
  </si>
  <si>
    <t>No</t>
  </si>
  <si>
    <t>Irak: bosques del monte Gara.</t>
  </si>
  <si>
    <t>Patrones de puntos</t>
  </si>
  <si>
    <t>Ripley K</t>
  </si>
  <si>
    <t>Ninguna</t>
  </si>
  <si>
    <t>Descriptivo</t>
  </si>
  <si>
    <t>Inventario / campo</t>
  </si>
  <si>
    <t>Ripley K / L</t>
  </si>
  <si>
    <t>Mixto (cambia con la escala)</t>
  </si>
  <si>
    <t>No evaluada</t>
  </si>
  <si>
    <t>No analiza factores</t>
  </si>
  <si>
    <t>No aplica</t>
  </si>
  <si>
    <t>No aplica (descriptivo)</t>
  </si>
  <si>
    <t>Proporción de patrón agrupado</t>
  </si>
  <si>
    <t>NR</t>
  </si>
  <si>
    <t>Patrón mixto: predominio aleatorio/regular con componente agrupado</t>
  </si>
  <si>
    <t>Otro resultado cuantitativo: Proporción de patrón agrupado = 11.25 %.</t>
  </si>
  <si>
    <t>E002</t>
  </si>
  <si>
    <t>Yu Cong</t>
  </si>
  <si>
    <t>Forest Ecosystems</t>
  </si>
  <si>
    <t>The interaction between temperature and precipitation on the potential distribution range of Betula ermanii in the alpine treeline ecotone on the Changbai Mountain</t>
  </si>
  <si>
    <t>10.1016/j.fecs.2024.100166</t>
  </si>
  <si>
    <t>ScienceDirect</t>
  </si>
  <si>
    <t>CHN</t>
  </si>
  <si>
    <t>China</t>
  </si>
  <si>
    <t>China: montaña Changbai, ecotono del límite arbóreo alpino, frontera con Corea del Norte.</t>
  </si>
  <si>
    <t>Machine learning</t>
  </si>
  <si>
    <t>Ensemble SDM (Biomod2)</t>
  </si>
  <si>
    <t>Clasificación</t>
  </si>
  <si>
    <t>Otra (imagen GF-2)</t>
  </si>
  <si>
    <t>Ninguno</t>
  </si>
  <si>
    <t>No evaluado</t>
  </si>
  <si>
    <t>Hidroclimáticos; Topográficos</t>
  </si>
  <si>
    <t>Temperatura × precipitación</t>
  </si>
  <si>
    <t>Mixta</t>
  </si>
  <si>
    <t>Altitud máxima del hábitat de baja idoneidad (2085)</t>
  </si>
  <si>
    <t>Expansión del rango potencial hacia mayores altitudes bajo los tres escenarios climáticos</t>
  </si>
  <si>
    <t>Periodo_fin 2085 es un escenario proyectado; no se usa para la duración. Otro resultado cuantitativo: Altitud máxima del hábitat de baja idoneidad (2085) = 2329 m s. n. m..</t>
  </si>
  <si>
    <t>E003</t>
  </si>
  <si>
    <t>Pavel Fibich</t>
  </si>
  <si>
    <t>Ecology and Evolution</t>
  </si>
  <si>
    <t>Common spatial patterns of trees in various tropical forests: Small trees are associated with increased diversity at small spatial scales</t>
  </si>
  <si>
    <t>10.1002/ece3.7640</t>
  </si>
  <si>
    <t>PubMed Central</t>
  </si>
  <si>
    <t>MULTI</t>
  </si>
  <si>
    <t>Papúa Nueva Guinea; Panamá; Sri Lanka</t>
  </si>
  <si>
    <t>Varios</t>
  </si>
  <si>
    <t>Papúa Nueva Guinea (Wanang), Panamá (Barro Colorado) y Sri Lanka (Sinharaja).</t>
  </si>
  <si>
    <t>Modelo nulo de procesos puntuales</t>
  </si>
  <si>
    <t>Otro</t>
  </si>
  <si>
    <t>Mayor riqueza espacial alrededor de árboles pequeños a distancias cortas; el efecto disminuye al considerar solo árboles &gt;10 cm</t>
  </si>
  <si>
    <t>Países: PNG;PAN;LKA.</t>
  </si>
  <si>
    <t>E004</t>
  </si>
  <si>
    <t>Paulo Neves Firmino</t>
  </si>
  <si>
    <t>New Forests</t>
  </si>
  <si>
    <t>How do soil and topographic drivers determine tree diameter spatial distribution in even aged cork oak stands installed in average to high productivity areas</t>
  </si>
  <si>
    <t>10.1007/s11056-024-10047-9</t>
  </si>
  <si>
    <t>Springer Nature</t>
  </si>
  <si>
    <t>PRT</t>
  </si>
  <si>
    <t>Portugal</t>
  </si>
  <si>
    <t>Europa</t>
  </si>
  <si>
    <t>Portugal: cuatro plantaciones de alcornoque en Santarém y Castelo Branco.</t>
  </si>
  <si>
    <t>Regresión espacial</t>
  </si>
  <si>
    <t>Rezago / error espacial (SAR, SEM)</t>
  </si>
  <si>
    <t>Autocorrelación espacial</t>
  </si>
  <si>
    <t>Regresión</t>
  </si>
  <si>
    <t>Inventario / campo; Otra</t>
  </si>
  <si>
    <t>Moran global</t>
  </si>
  <si>
    <t>Agrupado</t>
  </si>
  <si>
    <t>Positiva significativa</t>
  </si>
  <si>
    <t>Topográficos; Edáficos</t>
  </si>
  <si>
    <t>ECa0.5; pendiente; elevación</t>
  </si>
  <si>
    <t>R²</t>
  </si>
  <si>
    <t>El crecimiento diamétrico presenta autocorrelación espacial y agrupamiento variable entre rodales</t>
  </si>
  <si>
    <t>E005</t>
  </si>
  <si>
    <t>Ian Flint</t>
  </si>
  <si>
    <t>Journal of Ecology</t>
  </si>
  <si>
    <t>Spatial pattern reveals process in a species-rich seasonal tropical forest: Insights from a multi-type point process model</t>
  </si>
  <si>
    <t>10.1111/1365-2745.70359</t>
  </si>
  <si>
    <t>Wiley</t>
  </si>
  <si>
    <t>THA</t>
  </si>
  <si>
    <t>Tailandia</t>
  </si>
  <si>
    <t>Tailandia: santuario de vida silvestre Huai Kha Khaeng, oeste del país; parcela forestal de 50 ha.</t>
  </si>
  <si>
    <t>Interacciones negativas a corta distancia y positivas a mayor distancia; el sotobosque fue fuertemente agrupado</t>
  </si>
  <si>
    <t>E006</t>
  </si>
  <si>
    <t>Zhenghua Lian</t>
  </si>
  <si>
    <t>Forests</t>
  </si>
  <si>
    <t>Identifying Spatial Patterns and Associations Across Different Growth Stages in Quercus Forests</t>
  </si>
  <si>
    <t>10.3390/f17010039</t>
  </si>
  <si>
    <t>MDPI</t>
  </si>
  <si>
    <t>China: bosques de Quercus variabilis en el norte del país; doce parcelas de 20 × 20 m.</t>
  </si>
  <si>
    <t>Correlación de marcas</t>
  </si>
  <si>
    <t>Radio medio de clúster</t>
  </si>
  <si>
    <t>Transición de plántulas agrupadas a adultos aleatorios</t>
  </si>
  <si>
    <t>Otro resultado cuantitativo: Radio medio de clúster = 3.89 m.</t>
  </si>
  <si>
    <t>E007</t>
  </si>
  <si>
    <t>Longhui Lin</t>
  </si>
  <si>
    <t>Spatial Patterns and Associations of Tree Species in a Temperate Forest of National Forest Park, Huadian City, Jilin Province, Northeast China</t>
  </si>
  <si>
    <t>10.3390/f15040714</t>
  </si>
  <si>
    <t>China: parque forestal nacional de Huadian, provincia de Jilin, noreste del país; bosque mixto de pino coreano y latifoliadas.</t>
  </si>
  <si>
    <t>Correlación de pares g(r)</t>
  </si>
  <si>
    <t>La agregación disminuyó con el aumento de la clase diamétrica; la mayoría de asociaciones entre pares fue negativa</t>
  </si>
  <si>
    <t>E008</t>
  </si>
  <si>
    <t>Jia Liu</t>
  </si>
  <si>
    <t>PeerJ</t>
  </si>
  <si>
    <t>Spatial patterns and associations of tree species at different developmental stages in a montane secondary temperate forest of northeastern China</t>
  </si>
  <si>
    <t>10.7717/peerj.11517</t>
  </si>
  <si>
    <t>China: condado autónomo manchú de Benxi, provincia de Liaoning; bosque montano secundario templado, parcela de 4 ha.</t>
  </si>
  <si>
    <t>Topográficos</t>
  </si>
  <si>
    <t>Heterogeneidad del hábitat / topografía</t>
  </si>
  <si>
    <t>La agregación fue el patrón dominante en plántulas, juveniles y adultos</t>
  </si>
  <si>
    <t>E009</t>
  </si>
  <si>
    <t>Unil Pak</t>
  </si>
  <si>
    <t>Plants</t>
  </si>
  <si>
    <t>Spatial Distribution of Pinus koraiensis Trees and Community-Level Spatial Associations in Broad-Leaved Korean Pine Mixed Forests in Northeastern China</t>
  </si>
  <si>
    <t>10.3390/plants12162906</t>
  </si>
  <si>
    <t>China: cinco parcelas de bosques mixtos de pino coreano y latifoliadas en el noreste del país.</t>
  </si>
  <si>
    <t>Heterogeneidad del sitio</t>
  </si>
  <si>
    <t>Escala de agregación de Pinus koraiensis</t>
  </si>
  <si>
    <t>Agregación de P. koraiensis a pequeña escala y asociaciones que cambian con la etapa de vida</t>
  </si>
  <si>
    <t>Otro resultado cuantitativo: Escala de agregación de Pinus koraiensis = 10 m (hasta).</t>
  </si>
  <si>
    <t>E010</t>
  </si>
  <si>
    <t>Brenda Letícia Rodrigues</t>
  </si>
  <si>
    <t>Ciência Rural</t>
  </si>
  <si>
    <t>Pattern and spatial associations of commercial trees in the Amazon</t>
  </si>
  <si>
    <t>10.1590/0103-8478cr20200367</t>
  </si>
  <si>
    <t>SciELO</t>
  </si>
  <si>
    <t>BRA</t>
  </si>
  <si>
    <t>Brasil</t>
  </si>
  <si>
    <t>América del Sur</t>
  </si>
  <si>
    <t>Brasil. Bosque Nacional de Tapajós, municipio de Belterra, estado de Pará, Amazonía brasileña.</t>
  </si>
  <si>
    <t>≈50</t>
  </si>
  <si>
    <t>Proporción mínima de la distancia analizada con patrón agregado</t>
  </si>
  <si>
    <t>Patrones aleatorios y agregados con asociaciones de independencia espacial</t>
  </si>
  <si>
    <t>Otro resultado cuantitativo: Proporción mínima de la distancia analizada con patrón agregado = ≈50 %.</t>
  </si>
  <si>
    <t>E011</t>
  </si>
  <si>
    <t>Ernesto Alonso Rubio-Camacho</t>
  </si>
  <si>
    <t>European Journal of Forest Research</t>
  </si>
  <si>
    <t>Tree mortality in mature temperate forests of central Mexico: a spatial approach</t>
  </si>
  <si>
    <t>10.1007/s10342-023-01542-3</t>
  </si>
  <si>
    <t>MEX</t>
  </si>
  <si>
    <t>México</t>
  </si>
  <si>
    <t>América del Norte y Central</t>
  </si>
  <si>
    <t>México: San Juan Tetla, Chiautzingo, Puebla; parcela permanente de 9 ha.</t>
  </si>
  <si>
    <t>Mortalidad agrupada a distancias cortas/intermedias y cercana a aleatoriedad a distancias mayores</t>
  </si>
  <si>
    <t>E012</t>
  </si>
  <si>
    <t>Christian Salas-Eljatib</t>
  </si>
  <si>
    <t>Analysing changes in spatial point patterns: A proposal using data from a forest thinning experiment</t>
  </si>
  <si>
    <t>10.1016/j.fecs.2022.100081</t>
  </si>
  <si>
    <t>CHL</t>
  </si>
  <si>
    <t>Chile</t>
  </si>
  <si>
    <t>Chile. Bosque experimental Llancahue, cerca de Valdivia, en la Cordillera de la Costa del sur de Chile.</t>
  </si>
  <si>
    <t>No aplica (sin división)</t>
  </si>
  <si>
    <t>El método cuantifica cambios antes/después del raleo en patrones con y sin marcas</t>
  </si>
  <si>
    <t>E013</t>
  </si>
  <si>
    <t>Mike H. Salazar Villegas</t>
  </si>
  <si>
    <t>Frontiers in Forests and Global Change</t>
  </si>
  <si>
    <t>Spatial facilitation and competition regulate tree species assembly in a tropical dry forest</t>
  </si>
  <si>
    <t>10.3389/ffgc.2023.1028515</t>
  </si>
  <si>
    <t>Frontiers</t>
  </si>
  <si>
    <t>COL</t>
  </si>
  <si>
    <t>Colombia</t>
  </si>
  <si>
    <t>Colombia: parcela cartografiada de bosque tropical seco.</t>
  </si>
  <si>
    <t>11% positivas (5 m); 13% negativas (16 m)</t>
  </si>
  <si>
    <t>Proporción de asociaciones positivas/negativas</t>
  </si>
  <si>
    <t>Asociaciones positivas a 5 m y negativas a 16 m, dependientes de la escala</t>
  </si>
  <si>
    <t>Otro resultado cuantitativo: Proporción de asociaciones positivas/negativas = 11% positivas (5 m); 13% negativas (16 m) %.</t>
  </si>
  <si>
    <t>E014</t>
  </si>
  <si>
    <t>Quétila Souza Barros</t>
  </si>
  <si>
    <t>New Zealand Journal of Forestry Science</t>
  </si>
  <si>
    <t>Diameter distributions and spatial distribution patterns of tree species are important for planning sustainable management in natural forests in the eastern Amazon</t>
  </si>
  <si>
    <t>10.33494/nzjfs552025x374x</t>
  </si>
  <si>
    <t>Brasil: Bosque Nacional Saracá-Taquera, Amazonía oriental.</t>
  </si>
  <si>
    <t>La mayoría de las especies comerciales presentó distribución espacial agregada</t>
  </si>
  <si>
    <t>E015</t>
  </si>
  <si>
    <t>Zsolt Tóth</t>
  </si>
  <si>
    <t>Dimenziók Matematikai Közlemények</t>
  </si>
  <si>
    <t>Individual tree detection and spatial distribution analysis without reference data</t>
  </si>
  <si>
    <t>10.20312/dim.2024.04</t>
  </si>
  <si>
    <t>Dos áreas de 100 × 100 m de un conjunto LiDAR NCALM; el texto no identifica explícitamente el país del área.</t>
  </si>
  <si>
    <t>Otra (LiDAR NCALM)</t>
  </si>
  <si>
    <t>257 (bosque); 47 (área mixta)</t>
  </si>
  <si>
    <t>Árboles detectados</t>
  </si>
  <si>
    <t>Bosque parcialmente aleatorio/regular y área mixta con agrupamiento</t>
  </si>
  <si>
    <t>Otro resultado cuantitativo: Árboles detectados = 257 (bosque); 47 (área mixta) árboles.</t>
  </si>
  <si>
    <t>E016</t>
  </si>
  <si>
    <t>Mayra Vázquez-Luna</t>
  </si>
  <si>
    <t>Land</t>
  </si>
  <si>
    <t>Evaluating the Spatial Relationships Between Tree Cover and Regional Temperature and Precipitation of the Yucatán Peninsula Applying Spatial Autoregressive Models</t>
  </si>
  <si>
    <t>10.3390/land14050943</t>
  </si>
  <si>
    <t>México: península de Yucatán.</t>
  </si>
  <si>
    <t>WorldClim; Otra (NASA GFCC)</t>
  </si>
  <si>
    <t>LISA</t>
  </si>
  <si>
    <t>Hidroclimáticos; Cobertura / vegetación</t>
  </si>
  <si>
    <t>Deforestación / degradación de la cobertura arbórea</t>
  </si>
  <si>
    <t>Coincidencia espacial de cobertura deforestada/degradada con condiciones más cálidas y secas</t>
  </si>
  <si>
    <t>E017</t>
  </si>
  <si>
    <t>Jingxuan Wang</t>
  </si>
  <si>
    <t>Spatial Distribution and Intraspecific and Interspecific Association in a Deciduous Broad-Leaved Forest in East China</t>
  </si>
  <si>
    <t>10.3390/f16101511</t>
  </si>
  <si>
    <t>China: montaña Lushan, provincia de Jiangxi; parcela de bosque caducifolio de 25 ha.</t>
  </si>
  <si>
    <t>Elevación; convexidad; N y C del suelo</t>
  </si>
  <si>
    <t>12/12</t>
  </si>
  <si>
    <t>Especies dominantes con agregación significativa</t>
  </si>
  <si>
    <t>Agregación significativa de las 12 especies dominantes bajo CSR</t>
  </si>
  <si>
    <t>Otro resultado cuantitativo: Especies dominantes con agregación significativa = 12/12 especies (100%).</t>
  </si>
  <si>
    <t>E018</t>
  </si>
  <si>
    <t>Chris Wudel</t>
  </si>
  <si>
    <t>Methods in Ecology and Evolution</t>
  </si>
  <si>
    <t>Multi-trait point pattern reconstruction of plant ecosystems</t>
  </si>
  <si>
    <t>10.1111/2041-210x.14206</t>
  </si>
  <si>
    <t>Alemania; Panamá</t>
  </si>
  <si>
    <t>Alemania: bosques de Neusorgefeld, Tharandter Wald y Reinhausen. Panamá: bosque tropical de la isla Barro Colorado.</t>
  </si>
  <si>
    <t>Datos independientes / verificación de campo</t>
  </si>
  <si>
    <t>El método reconstruyó patrones forestales complejos preservando relaciones espaciales entre múltiples marcas</t>
  </si>
  <si>
    <t>Países: DEU;PAN. Tipo de problema "Otro" en la ficha anterior: definir con el texto completo.</t>
  </si>
  <si>
    <t>E019</t>
  </si>
  <si>
    <t>Honglu Xin</t>
  </si>
  <si>
    <t>Journal of Forestry Research</t>
  </si>
  <si>
    <t>Spatial pattern analysis of forest trees based on the vectorial mark</t>
  </si>
  <si>
    <t>10.1007/s11676-021-01417-6</t>
  </si>
  <si>
    <t>GBR</t>
  </si>
  <si>
    <t>Reino Unido</t>
  </si>
  <si>
    <t>Reino Unido: Wytham Woods, Oxfordshire; parcelas de 1 y 9 ha.</t>
  </si>
  <si>
    <t>Otra (LiDAR aéreo y terrestre)</t>
  </si>
  <si>
    <t>70–86</t>
  </si>
  <si>
    <t>Exactitud de detección de patrones</t>
  </si>
  <si>
    <t>A menor escala los árboles tendieron a agruparse y mostraron mayor altura/copa asociada a facilitación</t>
  </si>
  <si>
    <t>Otro resultado cuantitativo: Exactitud de detección de patrones = 70–86 %.</t>
  </si>
  <si>
    <t>E020</t>
  </si>
  <si>
    <t>Junlong Yang</t>
  </si>
  <si>
    <t>Competition and density dependence in arid mountain forest stands: revealing the complex process from spatial patterns</t>
  </si>
  <si>
    <t>10.3389/ffgc.2024.1354240</t>
  </si>
  <si>
    <t>China: montañas Luoshan, Ningxia; bosque de Populus davidiana.</t>
  </si>
  <si>
    <t>Transición de agrupamiento en plántulas a aleatoriedad en adultos; asociaciones cambian con etapa y distancia</t>
  </si>
  <si>
    <t>E021</t>
  </si>
  <si>
    <t>Deyi Yin</t>
  </si>
  <si>
    <t>Trait hierarchies are stronger than trait dissimilarities in structuring spatial co-occurrence patterns of common tree species in a subtropical forest</t>
  </si>
  <si>
    <t>10.1002/ece3.7567</t>
  </si>
  <si>
    <t>China: parcela cartografiada de 50 ha de bosque subtropical en el sur del país.</t>
  </si>
  <si>
    <t>Las jerarquías de rasgos explicaron mejor la co-ocurrencia espacial que la disimilitud de rasgos</t>
  </si>
  <si>
    <t>E022</t>
  </si>
  <si>
    <t>Mengtao Zhang</t>
  </si>
  <si>
    <t>Scientific Reports</t>
  </si>
  <si>
    <t>Spatial distribution pattern of dominant tree species in different disturbance plots in the Changbai Mountain</t>
  </si>
  <si>
    <t>10.1038/s41598-022-18621-x</t>
  </si>
  <si>
    <t>China: condado de Wangqing, prefectura de Yanbian, provincia de Jilin; montañas Changbai, dos parcelas de 1 ha.</t>
  </si>
  <si>
    <t>Perturbación</t>
  </si>
  <si>
    <t>Las especies mostraron principalmente patrones agrupados; los variogramas de marcas indicaron autocorrelación positiva a escala gruesa</t>
  </si>
  <si>
    <t>E023</t>
  </si>
  <si>
    <t>Xilin Zhang</t>
  </si>
  <si>
    <t>Spatial Effects Analysis on Individual-Tree Aboveground Biomass in a Tropical Pinus kesiya var. langbianensis Natural Forest in Yunnan, Southwestern China</t>
  </si>
  <si>
    <t>10.3390/f14061177</t>
  </si>
  <si>
    <t>China: bosque natural de Pinus kesiya var. langbianensis en Yunnan; parcela de 0,3 ha.</t>
  </si>
  <si>
    <t>Moran's I máximo</t>
  </si>
  <si>
    <t>Autocorrelación espacial positiva de la biomasa; la heterogeneidad se estabilizó entre 10 y 20 m según el grupo</t>
  </si>
  <si>
    <t>E024</t>
  </si>
  <si>
    <t>Jingdong Zhao</t>
  </si>
  <si>
    <t>Spatial Distribution Patterns of Dominant Tree Species and Their Associations with Soil Factors in Subalpine Secondary Forests of Western Sichuan</t>
  </si>
  <si>
    <t>10.3390/plants14223424</t>
  </si>
  <si>
    <t>China: región forestal de Miyaluo, condado de Lixian, prefectura de Aba, oeste de Sichuan; dos parcelas de 1 ha.</t>
  </si>
  <si>
    <t>Edáficos</t>
  </si>
  <si>
    <t>Capacidad capilar de retención de agua del suelo</t>
  </si>
  <si>
    <t>Positiva</t>
  </si>
  <si>
    <t>Agregación a escalas finas y tendencia a aleatoriedad al aumentar la escala; asociaciones positivas entre especies a pequeña escala</t>
  </si>
  <si>
    <t>E025</t>
  </si>
  <si>
    <t>P2</t>
  </si>
  <si>
    <t>Boubekraoui H.</t>
  </si>
  <si>
    <t>Trees, Forests and People, 12, 100388</t>
  </si>
  <si>
    <t>Spatio-temporal analysis and identification of deforestation hotspots in the Moroccan western Rif</t>
  </si>
  <si>
    <t>10.1016/j.tfp.2023.100388</t>
  </si>
  <si>
    <t>Deforestación y degradación</t>
  </si>
  <si>
    <t>MAR</t>
  </si>
  <si>
    <t>Marruecos</t>
  </si>
  <si>
    <t>África</t>
  </si>
  <si>
    <t>Getis-Ord Gi*</t>
  </si>
  <si>
    <t>Hansen GFC</t>
  </si>
  <si>
    <t>Hansen GFC; Otra</t>
  </si>
  <si>
    <t>Cuantifica la pérdida forestal bruta 2001-2020 a escala comunal; detecta 3 clústeres alto-alto con LISA y puntos calientes emergentes de deforestación.</t>
  </si>
  <si>
    <t>E026</t>
  </si>
  <si>
    <t>dos Santos A.M.</t>
  </si>
  <si>
    <t>Journal of Environmental Management, 294, 113020</t>
  </si>
  <si>
    <t>Deforestation drivers in the Brazilian Amazon: assessing new spatial predictors</t>
  </si>
  <si>
    <t>10.1016/j.jenvman.2021.113020</t>
  </si>
  <si>
    <t>GWR</t>
  </si>
  <si>
    <t>Antrópicos</t>
  </si>
  <si>
    <t>El modelo GWR explica el 96 % de la variación de la deforestación 2010-2019; la ganadería es el predictor más correlacionado y el crédito rural para ganadería contribuye.</t>
  </si>
  <si>
    <t>E027</t>
  </si>
  <si>
    <t>Carlos Fabricio Assunção da Silva</t>
  </si>
  <si>
    <t>Transportation Research Part D: Transport and Environment, 119, 103735</t>
  </si>
  <si>
    <t>Road network and deforestation of indigenous lands in the Brazilian Amazon</t>
  </si>
  <si>
    <t>10.1016/j.trd.2023.103735</t>
  </si>
  <si>
    <t>GLM</t>
  </si>
  <si>
    <t>332 tierras indígenas, 2008-2021: incendios activos, minería ilegal y vías no oficiales explican la deforestación; 1 km más de vía no oficial suma 0,036 km² de pérdida.</t>
  </si>
  <si>
    <t>E028</t>
  </si>
  <si>
    <t>López, Santiago</t>
  </si>
  <si>
    <t>Applied Geography</t>
  </si>
  <si>
    <t>Deforestation, forest degradation, and land use dynamics in the Northeastern Ecuadorian Amazon</t>
  </si>
  <si>
    <t>10.1016/j.apgeog.2022.102749</t>
  </si>
  <si>
    <t>ECU</t>
  </si>
  <si>
    <t>Ecuador</t>
  </si>
  <si>
    <t>Clasificación y detección de cambios</t>
  </si>
  <si>
    <t>Regresión logística</t>
  </si>
  <si>
    <t>Topográficos; Antrópicos</t>
  </si>
  <si>
    <t>Evalúa deforestación y degradación 2013-2019 y genera geovisualización de probabilidades locales de deforestación según factores socioambientales (vías, topografía, población).</t>
  </si>
  <si>
    <t>E029</t>
  </si>
  <si>
    <t>Matthew S. Marcus</t>
  </si>
  <si>
    <t>Journal of Environmental Management, 351, 119665</t>
  </si>
  <si>
    <t>Spatial distribution of degradation and deforestation of palm swamp peatlands and associated carbon emissions in the Peruvian Amazon</t>
  </si>
  <si>
    <t>10.1016/j.jenvman.2023.119665</t>
  </si>
  <si>
    <t>PER</t>
  </si>
  <si>
    <t>Perú</t>
  </si>
  <si>
    <t>Sí</t>
  </si>
  <si>
    <t>Análisis multitemporal de cobertura</t>
  </si>
  <si>
    <t>Landsat</t>
  </si>
  <si>
    <t>Landsat; Otra</t>
  </si>
  <si>
    <t>Mapea degradación y deforestación de pantanos de palmeras en 28 Mha de la Amazonía baja (1990-2007 y 2007-2018) y estima emisiones de carbono asociadas.</t>
  </si>
  <si>
    <t>E030</t>
  </si>
  <si>
    <t>Gianmarco Goycochea Casas</t>
  </si>
  <si>
    <t>Trees, Forests and People, 14, 100440</t>
  </si>
  <si>
    <t>Classifying the risk of forest loss in the Peruvian amazon rainforest: An alternative approach for sustainable forest management using artificial intelligence</t>
  </si>
  <si>
    <t>10.1016/j.tfp.2023.100440</t>
  </si>
  <si>
    <t>Red neuronal</t>
  </si>
  <si>
    <t>Cobertura / vegetación</t>
  </si>
  <si>
    <t>Clasifica el riesgo de pérdida forestal por distritos de la Amazonía peruana; las redes de Kohonen agrupan eficazmente pérdida y cobertura forestal.</t>
  </si>
  <si>
    <t>E031</t>
  </si>
  <si>
    <t>Saka, Umut Mete</t>
  </si>
  <si>
    <t>The Extractive Industries and Society, 20, 101526</t>
  </si>
  <si>
    <t>An analysis of the impact of CO2 emissions from deforestation and mining in Madre de Dios, Perú</t>
  </si>
  <si>
    <t>10.1016/j.exis.2024.101526</t>
  </si>
  <si>
    <t>Cuantifica el efecto de la minería aurífera artesanal y del tráfico en la carretera interoceánica: 429,9 Gg de CO₂ por año en Madre de Dios.</t>
  </si>
  <si>
    <t>E032</t>
  </si>
  <si>
    <t>Forest Policy and Economics</t>
  </si>
  <si>
    <t>Deforestation and human development in the Brazilian tropical dry forest</t>
  </si>
  <si>
    <t>10.1016/j.forpol.2025.103571</t>
  </si>
  <si>
    <t>Relaciona deforestación y desarrollo humano en municipios del bosque seco; hay autocorrelación espacial positiva y los niveles intermedios de deforestación se asocian a mejores resultados.</t>
  </si>
  <si>
    <t>E033</t>
  </si>
  <si>
    <t>Clerici, Nicola</t>
  </si>
  <si>
    <t>Trees, Forests and People</t>
  </si>
  <si>
    <t>Disentangling the deforestation-environmental crime nexus in Latin America</t>
  </si>
  <si>
    <t>10.1016/j.tfp.2024.100610</t>
  </si>
  <si>
    <t>América Latina</t>
  </si>
  <si>
    <t>Otro: Modelos de medidas repetidas; prueba de autocorrelación espacial de re</t>
  </si>
  <si>
    <t>Modela el número de focos de delito ambiental en función de la deforestación del año actual y previos; no halló autocorrelación espacial significativa en los residuos.</t>
  </si>
  <si>
    <t>E034</t>
  </si>
  <si>
    <t>Mahapatra, Soumik</t>
  </si>
  <si>
    <t>Results in Engineering</t>
  </si>
  <si>
    <t>Understanding forest fragmentation dynamics and identifying drivers for forest cover loss using random forest models to develop effective forest management strategies in North-East India</t>
  </si>
  <si>
    <t>10.1016/j.rineng.2025.104640</t>
  </si>
  <si>
    <t>IND</t>
  </si>
  <si>
    <t>India</t>
  </si>
  <si>
    <t>Random Forest</t>
  </si>
  <si>
    <t>Hidroclimáticos; Antrópicos</t>
  </si>
  <si>
    <t>Cuantifica pérdida y fragmentación forestal en tres décadas; densidad poblacional, relación bosque-población y temperatura media son los principales factores de pérdida.</t>
  </si>
  <si>
    <t>E035</t>
  </si>
  <si>
    <t>Procedia Computer Science</t>
  </si>
  <si>
    <t>Forest loss analysis and calculation with geospatial artificial intelligence: A case study of Papua province</t>
  </si>
  <si>
    <t>10.1016/j.procs.2022.12.145</t>
  </si>
  <si>
    <t>IDN</t>
  </si>
  <si>
    <t>Indonesia</t>
  </si>
  <si>
    <t>Calcula y mapea la pérdida forestal de Papúa 2001-2021 por distrito; las zonas semiurbanas y urbanas son 2-20 veces más propensas a deforestación.</t>
  </si>
  <si>
    <t>E036</t>
  </si>
  <si>
    <t>Zhang, Yihang</t>
  </si>
  <si>
    <t>Global Environmental Change</t>
  </si>
  <si>
    <t>Unveiling small-scale tropical forest loss and post-loss recovery in the Congo Basin</t>
  </si>
  <si>
    <t>10.1016/j.gloenvcha.2026.103149</t>
  </si>
  <si>
    <t>COD</t>
  </si>
  <si>
    <t>RD del Congo</t>
  </si>
  <si>
    <t>Cuenca del Congo (África Central)</t>
  </si>
  <si>
    <t>Análisis de series temporales</t>
  </si>
  <si>
    <t>El 76,5 % de la pérdida forestal corresponde a claros de hasta 1,8 ha; la pérdida y la recuperación posterior se vinculan con actividad humana.</t>
  </si>
  <si>
    <t>E037</t>
  </si>
  <si>
    <t>Saranya, K.R.L.</t>
  </si>
  <si>
    <t>Remote Sensing Applications: Society and Environment</t>
  </si>
  <si>
    <t>Analysing the trends in annual forest loss hotspots in the regional landscape of Eastern Ghats, India</t>
  </si>
  <si>
    <t>10.1016/j.rsase.2022.100731</t>
  </si>
  <si>
    <t>Detecta puntos calientes nuevos y esporádicos asociados al cultivo itinerante; no hay puntos calientes intensificadores ni persistentes.</t>
  </si>
  <si>
    <t>E038</t>
  </si>
  <si>
    <t>Cai, Yaotong</t>
  </si>
  <si>
    <t>International Journal of Applied Earth Observation and Geoinformation</t>
  </si>
  <si>
    <t>Forest fragmentation trends and modes in China: Implications for conservation and restoration</t>
  </si>
  <si>
    <t>10.1016/j.jag.2024.104094</t>
  </si>
  <si>
    <t>Mann-Kendall / Theil-Sen</t>
  </si>
  <si>
    <t>El 79 % de los condados mejora la integridad del paisaje forestal y el 5 % se fragmenta; agricultura y urbanización explican el 25 % de la fragmentación.</t>
  </si>
  <si>
    <t>E039</t>
  </si>
  <si>
    <t>Salinas Romero, Shirley Giselle</t>
  </si>
  <si>
    <t>Journal for Nature Conservation</t>
  </si>
  <si>
    <t>Impacts of national governments on the forest cover loss in Paraguayan Chaco between 1999 and 2021</t>
  </si>
  <si>
    <t>10.1016/j.jnc.2023.126472</t>
  </si>
  <si>
    <t>PRY</t>
  </si>
  <si>
    <t>Paraguay</t>
  </si>
  <si>
    <t>La cobertura forestal del Chaco cayó de 73,9 % a 50,1 % (1999-2021); la mayor pérdida ocurrió en el periodo 2008-2012.</t>
  </si>
  <si>
    <t>E040</t>
  </si>
  <si>
    <t>González-González, Andrés</t>
  </si>
  <si>
    <t>Ecological Indicators</t>
  </si>
  <si>
    <t>Spatial-temporal dynamics of deforestation and its drivers indicate need for locally-adapted environmental governance in Colombia</t>
  </si>
  <si>
    <t>10.1016/j.ecolind.2021.107695</t>
  </si>
  <si>
    <t>Determina la importancia relativa de los motores de deforestación por región; la influencia de las actividades agrícolas varía entre regiones.</t>
  </si>
  <si>
    <t>E041</t>
  </si>
  <si>
    <t>Parsch, Christoph</t>
  </si>
  <si>
    <t>Science of the Total Environment</t>
  </si>
  <si>
    <t>Forecasting deforestation and carbon loss across New Guinea using machine learning and cellular automata</t>
  </si>
  <si>
    <t>10.1016/j.scitotenv.2025.178864</t>
  </si>
  <si>
    <t>Indonesia; Papúa Nueva Guinea</t>
  </si>
  <si>
    <t>Nueva Guinea (Indonesia y Papúa Nueva Guinea)</t>
  </si>
  <si>
    <t>Compara patrones y motores de deforestación entre ambos países y estima la pérdida de carbono con escenarios de 4,8 % a 28 % de pérdida forestal.</t>
  </si>
  <si>
    <t>Países: IDN;PNG.</t>
  </si>
  <si>
    <t>E042</t>
  </si>
  <si>
    <t>Dalagnol, Ricardo</t>
  </si>
  <si>
    <t>Remote Sensing of Environment</t>
  </si>
  <si>
    <t>Mapping tropical forest degradation with deep learning and Planet NICFI data</t>
  </si>
  <si>
    <t>10.1016/j.rse.2023.113798</t>
  </si>
  <si>
    <t>Brasil (Mato Grosso)</t>
  </si>
  <si>
    <t>Otra (Planet)</t>
  </si>
  <si>
    <t>Primer mapa de degradación forestal tropical con Planet NICFI que detecta y atribuye tala, fuego y construcción de vías; coincide con DETER y SIMEX.</t>
  </si>
  <si>
    <t>E043</t>
  </si>
  <si>
    <t>Ramachandran, Neel</t>
  </si>
  <si>
    <t>Automatic deforestation driver attribution using deep learning on satellite imagery</t>
  </si>
  <si>
    <t>10.1016/j.gloenvcha.2024.102843</t>
  </si>
  <si>
    <t>Landsat; Hansen GFC; Otra</t>
  </si>
  <si>
    <t>Atribuye los motores directos de más de 2 millones de eventos de pérdida forestal en Indonesia (2012–2019) con un modelo entrenado en imágenes etiquetadas por expertos.</t>
  </si>
  <si>
    <t>E044</t>
  </si>
  <si>
    <t>Chen, Shijuan</t>
  </si>
  <si>
    <t>Monitoring temperate forest degradation on Google Earth Engine using Landsat time series analysis</t>
  </si>
  <si>
    <t>10.1016/j.rse.2021.112648</t>
  </si>
  <si>
    <t>GEO</t>
  </si>
  <si>
    <t>Georgia</t>
  </si>
  <si>
    <t>Georgia (Cáucaso)</t>
  </si>
  <si>
    <t>CCDC</t>
  </si>
  <si>
    <t>Estima 3541 ± 556 km² de bosque degradado (11 % del bosque de 1987), mucho más que la deforestación (158 ± 98 km²).</t>
  </si>
  <si>
    <t>E045</t>
  </si>
  <si>
    <t>Slagter, Bart</t>
  </si>
  <si>
    <t>Monitoring direct drivers of small-scale tropical forest disturbance in near real-time with Sentinel-1 and -2 data</t>
  </si>
  <si>
    <t>10.1016/j.rse.2023.113655</t>
  </si>
  <si>
    <t>Varios (trópicos)</t>
  </si>
  <si>
    <t>Trópico (sitios por verificar)</t>
  </si>
  <si>
    <t>Clasificación supervisada</t>
  </si>
  <si>
    <t>Sentinel-2</t>
  </si>
  <si>
    <t>Sentinel-2; Sentinel-1</t>
  </si>
  <si>
    <t>Clasifica de forma explícita y casi en tiempo real los motores de perturbación de pequeña escala: agricultura, vías, tala selectiva y minería.</t>
  </si>
  <si>
    <t>E046</t>
  </si>
  <si>
    <t>A novel approach towards continuous monitoring of forest change dynamics in fragmented landscapes using time series Landsat imagery</t>
  </si>
  <si>
    <t>10.1016/j.jag.2023.103226</t>
  </si>
  <si>
    <t>Amazonía</t>
  </si>
  <si>
    <t>Propone CCDC-PFI, que supera a otros métodos al detectar cambios forestales sub-píxel de baja intensidad en paisajes fragmentados de la Amazonía.</t>
  </si>
  <si>
    <t>E047</t>
  </si>
  <si>
    <t>Yang, Wanting</t>
  </si>
  <si>
    <t>Ecological Informatics, 86, 103034</t>
  </si>
  <si>
    <t>Mapping forest-agroforest frontiers in the Peruvian Amazon with deep learning and PlanetScope satellite data</t>
  </si>
  <si>
    <t>10.1016/j.ecoinf.2025.103034</t>
  </si>
  <si>
    <t>Prototipa el mapeo a gran escala de la frontera bosque-agroforestería en cuatro sitios de la Amazonía peruana (incluye San Martín).</t>
  </si>
  <si>
    <t>E048</t>
  </si>
  <si>
    <t>Journal of Environmental Management</t>
  </si>
  <si>
    <t>Amazon deforestation: A dangerous future indicated by patterns and trajectories in a hotspot of forest destruction in Brazil</t>
  </si>
  <si>
    <t>10.1016/j.jenvman.2024.120354</t>
  </si>
  <si>
    <t>Brasil (Lábrea, Amazonas)</t>
  </si>
  <si>
    <t>Analiza patrones de deforestación hasta 2021 en Lábrea (zona AMACRO); los patrones de ocupación multidireccional y consolidado fueron los principales contribuyentes.</t>
  </si>
  <si>
    <t>E049</t>
  </si>
  <si>
    <t>Cotrina Sánchez, Alexander</t>
  </si>
  <si>
    <t>Peruvian Amazon disappearing: Transformation of protected areas during the last two decades (2001–2019) and potential future deforestation modelling using cloud computing and MaxEnt approach</t>
  </si>
  <si>
    <t>10.1016/j.jnc.2021.126081</t>
  </si>
  <si>
    <t>MaxEnt</t>
  </si>
  <si>
    <t>Cuantifica 114 463 ha perdidas en áreas protegidas y 782 781 ha en zonas de amortiguamiento en 20 años; el riesgo alto se ubica en el centro y suroeste, cerca de ríos navegables.</t>
  </si>
  <si>
    <t>E050</t>
  </si>
  <si>
    <t>Amazon Basin shows reduced forest loss but increased forest spatial fragmentation in 1992–2020</t>
  </si>
  <si>
    <t>10.1016/j.scitotenv.2025.179917</t>
  </si>
  <si>
    <t>Cuenca amazónica</t>
  </si>
  <si>
    <t>La pérdida total disminuyó, pero la de pequeño tamaño aumentó desde 2003; aparecen nuevos puntos calientes en Perú, Ecuador y Colombia.</t>
  </si>
  <si>
    <t>E051</t>
  </si>
  <si>
    <t>He, Xinyue</t>
  </si>
  <si>
    <t>One Earth</t>
  </si>
  <si>
    <t>Accelerating global mountain forest loss threatens biodiversity hotspots</t>
  </si>
  <si>
    <t>10.1016/j.oneear.2023.02.005</t>
  </si>
  <si>
    <t>Global</t>
  </si>
  <si>
    <t>Examina patrones espaciotemporales, motores e impactos de la pérdida forestal en montañas y su efecto sobre zonas de alta biodiversidad.</t>
  </si>
  <si>
    <t>E052</t>
  </si>
  <si>
    <t>Wei, Shan</t>
  </si>
  <si>
    <t>Identifying spatial-temporal hotspots of mangrove loss and gain in Southeast Asia: Implications for strategic mangrove management</t>
  </si>
  <si>
    <t>10.1016/j.ecolind.2026.115104</t>
  </si>
  <si>
    <t>Sudeste de Asia</t>
  </si>
  <si>
    <t>Identifica puntos calientes de pérdida y ganancia de manglar 1990–2022; el delta del Mekong es un punto caliente dinámico de ambos procesos.</t>
  </si>
  <si>
    <t>E053</t>
  </si>
  <si>
    <t>Vo Quang, An</t>
  </si>
  <si>
    <t>Detection of degraded forests in Guinea, West Africa, based on Sentinel-2 time series by inclusion of moisture-related spectral indices and neighbourhood effect</t>
  </si>
  <si>
    <t>10.1016/j.rse.2022.113230</t>
  </si>
  <si>
    <t>GIN</t>
  </si>
  <si>
    <t>Guinea</t>
  </si>
  <si>
    <t>Propone un procedimiento semiautomático para mapear la degradación 2015–2020 por tala selectiva y fragmentación; los índices de humedad se relacionan con el grado de degradación.</t>
  </si>
  <si>
    <t>E054</t>
  </si>
  <si>
    <t>Tracking small-scale tropical forest disturbances: Fusing the Landsat and Sentinel-2 data record</t>
  </si>
  <si>
    <t>10.1016/j.rse.2021.112470</t>
  </si>
  <si>
    <t>Landsat; Sentinel-2</t>
  </si>
  <si>
    <t>Fusiona todas las imágenes Landsat y Sentinel-2 para seguir perturbaciones pequeñas (tala selectiva, claros) que Landsat solo detecta mal por nubes y rebrote.</t>
  </si>
  <si>
    <t>E055</t>
  </si>
  <si>
    <t>P3</t>
  </si>
  <si>
    <t>Manrique</t>
  </si>
  <si>
    <t>Cultivo de coca y deforestación en la Amazonía peruana: un análisis multiescala utilizando modelos de regresión espacial.</t>
  </si>
  <si>
    <t>10.1016/j.apgeog.2025.103742</t>
  </si>
  <si>
    <t>Cambio de cobertura</t>
  </si>
  <si>
    <t>PERÚ</t>
  </si>
  <si>
    <t>Coca cultivation is expanding rapidly into the Amazon biome, raising concerns about its role in deforestation.While this relationship is well-studied in Colombia, Peru remains understudied in spatial modeling analyses. This study addresses this gap by employing spatial regression models to assess the association between coca cultivation and deforestation across the Peruvian Amazon at the national and subnational level.First, we quantifytrends: be</t>
  </si>
  <si>
    <t>E056</t>
  </si>
  <si>
    <t>Aoife Bennett</t>
  </si>
  <si>
    <t>Forty-year multi-scale land cover change and political ecology data reveal a dynamic and regenerative process of forests in Peruvian Indigenous Territories</t>
  </si>
  <si>
    <t>10.1016/j.gloenvcha.2023.102695</t>
  </si>
  <si>
    <t>Perú (Región de Madre de Dios, abarcando 25 Tierras de Comunidades Indígenas tituladas</t>
  </si>
  <si>
    <t>Landsat; Otra (Sentinel)</t>
  </si>
  <si>
    <t>This article explores deforestation and reforestation dynamics over 415,749 hectares of 25 titled Indigenous Community Lands (ICLs) in the Peruvian Amazon over forty years at three scales: total area, regions, and communities. We focus on ICLs as the territorial unit of analysis, as they are increasingly discussed regarding their importance for conservation. Additionally indigenous communities (ICs) are a too-marginalized group in the Amazon that</t>
  </si>
  <si>
    <t>E057</t>
  </si>
  <si>
    <t>Nilton B. Rojas-Briceño</t>
  </si>
  <si>
    <t>Effectiveness of protected areas in containing the loss of Peruvian Amazonian forests</t>
  </si>
  <si>
    <t>10.1016/j.tfp.2025.100778</t>
  </si>
  <si>
    <t>Perú (Bosques de la Amazonía Peruana, evaluando 41 Áreas Naturales Protegidas - ANP)</t>
  </si>
  <si>
    <t>Otra (GEOBOSQUES)</t>
  </si>
  <si>
    <t xml:space="preserve">Los Bosques Amazónicos Peruanos (BAP), vitales para la biodiversidad, el clima y el bienestar humano, perdieron 2,92 millones de hectáreas entre 2001 y 2022, principalmente debido a actividades antropogénicas. Esto impulsó estrategias para conservar y proteger los BAP, tales como restricciones al uso de la tierra y a los recursos naturales, siendo las áreas naturales protegidas (ANP) la estrategia principal. Este estudio evaluó la efectividad de </t>
  </si>
  <si>
    <t>E058</t>
  </si>
  <si>
    <t>Nadège Cirezi Cizungu</t>
  </si>
  <si>
    <t>Fire risk assessment, spatiotemporal clustering and hotspot analysis in the Luki biosphere reserve region, western DR Congo</t>
  </si>
  <si>
    <t>10.1016/j.tfp.2021.100104</t>
  </si>
  <si>
    <t>República Democrática del Congo (Región de la Reserva de la Biosfera de Luki, provincia de Congo Central)</t>
  </si>
  <si>
    <t>MODIS</t>
  </si>
  <si>
    <t>This paper analyzes active fires from 2001 to 2019 in and around the Luki Biosphere Reserve, western DR Congo to assess fire risks. In this study, we used descriptive statistics to assess fire events, Getis-Ord G hotspot analysis to define the spatial patterns presented by the fire events. Diagnostics for spatiotemporal clustering of fires location and space-time interaction were assessed the spatiotemporal K function. MODIS data from 2001 to 201</t>
  </si>
  <si>
    <t>Usa densidad kernel (KDE).</t>
  </si>
  <si>
    <t>E059</t>
  </si>
  <si>
    <t>Hasan</t>
  </si>
  <si>
    <t>Monitoring of land use and land cover changes by using remote sensing and GIS techniques at human-induced mangrove forests areas in Bangladesh</t>
  </si>
  <si>
    <t>10.1016/j.rsase.2022.100699</t>
  </si>
  <si>
    <t>BGD</t>
  </si>
  <si>
    <t>Bangladesh</t>
  </si>
  <si>
    <t>Bangladesh (Áreas de humedales y manglares inducidos por el hombre)</t>
  </si>
  <si>
    <t>Cobertura / vegetación; Antrópicos</t>
  </si>
  <si>
    <t>Los humedales creados por el ser humano están más expuestos a amenazas en todo el mundo. Para conservar y proteger los recursos de los humedales, como los bosques de manglares, es fundamental monitorear los humedales y sus características terrestres asociadas, así como el uso de la cobertura del suelo. Los cambios en el uso y la cobertura del suelo (LULC) mediante teledetección se han utilizado desde diferentes perspectivas para evaluar la dinámi</t>
  </si>
  <si>
    <t>E060</t>
  </si>
  <si>
    <t>Aqil Tariq</t>
  </si>
  <si>
    <t>Heliyon</t>
  </si>
  <si>
    <t>Modelling, mapping and monitoring of forest cover changes, using support vector machine, kernel logistic regression and naive bayes tree models with optical remote sensing data</t>
  </si>
  <si>
    <t>10.1016/j.heliyon.2023.e13212</t>
  </si>
  <si>
    <t>PAK</t>
  </si>
  <si>
    <t>Pakistán</t>
  </si>
  <si>
    <t>Pakistán (Provincia de Khyber Pakhtunkhwa - KPK)</t>
  </si>
  <si>
    <t>SVM</t>
  </si>
  <si>
    <t>The present study is designed to monitor the spatio-temporal changes in forest cover using Remote Sensing (RS) and Geographic Information system (GIS) techniques from 1990 to 2017. Landsat data from 1990 (Thematic mapper [TM]), 2000 and 2010 (Enhanced Thematic Mapper [ETM+]), and 2013 to 2017 (Operational Land Imager/Thermal Infrared Sensor [OLI/TIRS]) were classified into the classes termed snow, water, barren land, built-up area, forest, and ve</t>
  </si>
  <si>
    <t>E061</t>
  </si>
  <si>
    <t>Jesús S. Ibarra-Bonilla</t>
  </si>
  <si>
    <t>The Egyptian Journal of Remote Sensing and Space Sciences</t>
  </si>
  <si>
    <t>Characterizing the impact of Land-Use/Land-Cover changes on a Temperate Forest using the Markov model</t>
  </si>
  <si>
    <t>10.1016/j.ejrs.2021.11.004</t>
  </si>
  <si>
    <t>México (Cuenca con bosque templado en el norte de México, Chihuahua)</t>
  </si>
  <si>
    <t>Hidroclimáticos; Topográficos; Antrópicos</t>
  </si>
  <si>
    <t>Distancia a tierras abiertas</t>
  </si>
  <si>
    <t>Land-Use/Land-Cover (LULC) change is one of the main factors contributing to ecosystem degradation and to the global climate change. The Markov Chains (MC) model is a widely used technique for the spatio-temporal evaluation of LULC changes, allowing the projection of the landscape variability based on the multidirectional potential of LULC changes. This study assessed the LULC changes in a disturbed temperate forest basin of northern México durin</t>
  </si>
  <si>
    <t>E062</t>
  </si>
  <si>
    <t>Marco Antonio Espinoza-Guzm´an</t>
  </si>
  <si>
    <t>Evaluation of recent land-use and land-cover change in a mountain region.</t>
  </si>
  <si>
    <t>10.1016/j.tfp.2023.100370</t>
  </si>
  <si>
    <t>México (Región montañosa del volcán "Cofre de Perote", Veracruz)</t>
  </si>
  <si>
    <t>Mountain regions are vital to the provision of ecosystem services. “Cofre de Perote” volcano is the eighth highest mountain in Mexico and provides various goods and services to the people living in the central region of Veracruz. Despite being a protected area as a national park, it shows processes of landscape change in recent years. We mapped land-use and land-cover changes (LULCC) based on remote sensing data (Sentinel-2) from 2017 and 2021. T</t>
  </si>
  <si>
    <t>E064</t>
  </si>
  <si>
    <t>Deisy Valeria Quevedo-Amay</t>
  </si>
  <si>
    <t>CIENCIAMATRIA</t>
  </si>
  <si>
    <t>Estudio multitemporal de la cobertura vegetal mediante sistemas de información geográfica. Caso: Reserva ecológica antisana</t>
  </si>
  <si>
    <t>10.35381/cm.v9i1.1109</t>
  </si>
  <si>
    <t>Ecuador (Reserva Ecológica Antisana, provincias de Pichincha y Napo)</t>
  </si>
  <si>
    <t>Matriz de transición</t>
  </si>
  <si>
    <t>Otra (Cartografía de cobertura vegetal y uso del suelo (fuente específica NR))</t>
  </si>
  <si>
    <t>Pérdida de bosque nativo y glaciares; expansión de páramo y suelo sin vegetación en Antisana</t>
  </si>
  <si>
    <t>E065</t>
  </si>
  <si>
    <t>Civil and Environmental Engineering Reports</t>
  </si>
  <si>
    <t>Aplicación de datos Sentinel-2 para la evaluación automática de cambios en la cubierta forestal: estudio de caso del bosque primigenio de Białowieża.</t>
  </si>
  <si>
    <t>10.2478/ceer-2021-0054</t>
  </si>
  <si>
    <t>POL</t>
  </si>
  <si>
    <t>Polonia</t>
  </si>
  <si>
    <t>Polonia (Bosque Primario de Białowieża)</t>
  </si>
  <si>
    <t>Diferencia de imágenes</t>
  </si>
  <si>
    <t xml:space="preserve">Sentinel-2 mission, as a part of European Space Agency Earth Observation Program Copernicus, designed specifically for Earth surface observations provides images in 13bands. That imaging is used to analyse many subject areas as Land monitoring, Emergency management, Security and Climate change. In the presented paper the application ofSentinel-2 data for automatic forest cover changes detection has been analysed. As input data, B02, B03, B04 and </t>
  </si>
  <si>
    <t>E066</t>
  </si>
  <si>
    <t>Gauhar Aziz</t>
  </si>
  <si>
    <t>Remote sensing based forestcover classification using machine learning</t>
  </si>
  <si>
    <t>10.1038/s41598-023-50863-1</t>
  </si>
  <si>
    <t>Pakistán (Distrito de Abbottabad, provincia de Khyber Pakhtunkhwa)</t>
  </si>
  <si>
    <t>Kappa</t>
  </si>
  <si>
    <t>El estudio aborda el déficit de cobertura forestal en Pakistán (menos del 5% del territorio) evaluando modelos de machine learning con imágenes de Sentinel-2 para el monitoreo forestal en el distrito de Abbottabad. Se compararon algoritmos de Redes Neuronales Artificiales (ANN) y Random Forest (RF) tanto en imágenes apiladas de capa única como en series temporales multicapa. El enfoque multitemporal con RF obtuvo el mejor desempeño general, con u</t>
  </si>
  <si>
    <t>E067</t>
  </si>
  <si>
    <t>Dante Leonardo Zumaeta Lozano</t>
  </si>
  <si>
    <t>Revista de Investigación Científica UNTRM: Ciencias Naturales e Ingeniería</t>
  </si>
  <si>
    <t>Análisis multitemporal y predictivo del cambio de uso del suelo y pérdida de cobertura vegetal</t>
  </si>
  <si>
    <t>10.25127/ucni.v2i3.607</t>
  </si>
  <si>
    <t>Perú (Microcuenca Yuyac, distritos de San Isidro de Maino y Magdalena, provincia de Chachapoyas, departamento de Amazonas)</t>
  </si>
  <si>
    <t>El estudio evalúa el cambio de uso del suelo y la pérdida de cobertura vegetal en la microcuenca Yuyac (Amazonas, Perú) entre 1998 y 2018, además de simular el escenario futuro para el año 2030. A través del análisis geoespacial de imágenes Landsat, se caracterizaron seis clases de uso y cobertura del suelo. Se determinó que la cobertura boscosa (BO) sufrió una pérdida de 592.40 hectáreas durante el período de 20 años analizado. Para la proyecció</t>
  </si>
  <si>
    <t>Año corregido de 2019 a 2021 según Crossref (publicado el 07/01/2021) y el PRISMA.</t>
  </si>
  <si>
    <t>E068</t>
  </si>
  <si>
    <t>G. N. Tanjina Hasnat</t>
  </si>
  <si>
    <t>A Time Series Analysis of Forest Cover and Land Surface Temperature Change Over Dudpukuria-Dhopachari Wildlife Sanctuary Using Landsat Imagery</t>
  </si>
  <si>
    <t>10.3389/ffgc.2021.687988</t>
  </si>
  <si>
    <t>Bangladesh (Santuario de Vida Silvestre Dudpukuria-Dhopachari - DDWS)</t>
  </si>
  <si>
    <t xml:space="preserve">Forest cover change is an important criterion as it affects the environmental balance whereas land surface temperature is a significant parameter within the earth climate system. Spatio-temporal change of forest cover can be detected and land Surface temperature can be retrieved by applying remote sensing technology. The present study aimed to capture the impact of forest cover change on land surface temperature in Dudpukuria-Dhopachari Wildlife </t>
  </si>
  <si>
    <t>E069</t>
  </si>
  <si>
    <t>Mohamed Ali Mohamed</t>
  </si>
  <si>
    <t>An Assessment of Forest Cover Change and Its Driving Forces in the Syrian Coastal Region during a Period of Conflict, 2010 to 2020</t>
  </si>
  <si>
    <t>10.3390/land10020191</t>
  </si>
  <si>
    <t>SYR</t>
  </si>
  <si>
    <t>Siria</t>
  </si>
  <si>
    <t>Siria Región costera de Siria</t>
  </si>
  <si>
    <t>El estudio analiza la rápida pérdida de cobertura forestal y sus factores determinantes en la región costera de Siria (donde se concentra el 76% de los bosques del país) durante el periodo de conflicto armado entre 2010 y 2020. Mediante teledetección con imágenes Landsat, se registró una disminución significativa del 24.3% en el área forestal total (31,116.0 ha) y una reducción de 11,778.0 ha (9.2%) en bosques densos. La pérdida forestal estuvo i</t>
  </si>
  <si>
    <t>E070</t>
  </si>
  <si>
    <t>Jadeja, Foram</t>
  </si>
  <si>
    <t>International Journal of Environment and Geoinformatics</t>
  </si>
  <si>
    <t>Assessment of Spatio-Temporal changes of Forest Cover using Remote Sensing techniques in Pavagadh Region, Gujarat State, India</t>
  </si>
  <si>
    <t>10.30897/ijegeo.1344777</t>
  </si>
  <si>
    <t>India (Área de Pavagadh, distrito de Panchmahal, estado de Gujarat)</t>
  </si>
  <si>
    <t>For effective forest management, it is essential to consider forest patterns and periodic changes in forest cover. Several spectral vegetation indices derived from multi-temporal Remote Sensing data are useful to track the changes over time. The major objective of this study was to monitor the changes in forest cover during the past three decades in the Pavagadh area of Panchmahal district, Gujarat State, India. Various indices like Normalized Di</t>
  </si>
  <si>
    <t>E071</t>
  </si>
  <si>
    <t>Frank Alexander La Torre Auccasi</t>
  </si>
  <si>
    <t>Revista de Investigaciones Altoandinas – Journal of High Andean Research</t>
  </si>
  <si>
    <t>Use of Google Earth Engine for the estimation and variation of the vegetable cover of the amazon forest generated by anthropic activity in Huepetuhe period 2016 to 2022</t>
  </si>
  <si>
    <t>10.18271/ria.2024.579</t>
  </si>
  <si>
    <t>Perú (Huepetuhe, provincia de Manu, departamento de Madre de Dios)</t>
  </si>
  <si>
    <t xml:space="preserve">La estimación y variación de la cobertura vegetal del bosque amazónico generada por la actividad antrópica en Huepetuhe tuvo por finalidad estimar las pérdidas de vegetación y las tasas de deforestación para para un bosque amazónico, el estudio se realizó utilizando la herramienta Google Earth Engine e imágenes satelitales Landsat 8, para el tratamiento de las imágenes ráster se utilizó el software ERDAS y ArcGis, las imágenes fueron sometidas a </t>
  </si>
  <si>
    <t>E072</t>
  </si>
  <si>
    <t>P1</t>
  </si>
  <si>
    <t>Pragya</t>
  </si>
  <si>
    <t>Remote Sensing</t>
  </si>
  <si>
    <t>Integrated Spatial Analysis of Forest Fire Susceptibility in the Indian Western Himalayas (IWH) Using Remote Sensing and GIS-Based Fuzzy AHP Approach</t>
  </si>
  <si>
    <t>10.3390/rs15194701</t>
  </si>
  <si>
    <t>Incendios forestales</t>
  </si>
  <si>
    <t>Basilea, Suiza</t>
  </si>
  <si>
    <t>SIG multicriterio</t>
  </si>
  <si>
    <t>AHP</t>
  </si>
  <si>
    <t>AUC</t>
  </si>
  <si>
    <t>Susceptibilidad muy alta en 86.85% del bosque tropical húmedo caducifolio</t>
  </si>
  <si>
    <t>E073</t>
  </si>
  <si>
    <t>Manoranjan Mishra</t>
  </si>
  <si>
    <t>Spatial analysis and machine learning prediction of forest fire susceptibility: a comprehensive approach for effective management and mitigation</t>
  </si>
  <si>
    <t>10.1016/j.scitotenv.2024.171713</t>
  </si>
  <si>
    <t>India (estado de Odisha)</t>
  </si>
  <si>
    <t>&gt;94</t>
  </si>
  <si>
    <t>Precisión RF</t>
  </si>
  <si>
    <t>Mayor precisión de RF frente a SVM; riesgo muy alto en parte de Odisha</t>
  </si>
  <si>
    <t>Otro resultado cuantitativo: Precisión RF = &gt;94 %. Usa densidad kernel (KDE).</t>
  </si>
  <si>
    <t>E074</t>
  </si>
  <si>
    <t>H. G. Abdo</t>
  </si>
  <si>
    <t>Sustainability</t>
  </si>
  <si>
    <t>GIS-Based Frequency Ratio and Analytic Hierarchy Process for Forest Fire Susceptibility Mapping in the Western Region of Syria</t>
  </si>
  <si>
    <t>10.3390/su14084668</t>
  </si>
  <si>
    <t>Siria (región occidental, zona de Al-Draikich)</t>
  </si>
  <si>
    <t>Hold-out (entrenamiento / prueba)</t>
  </si>
  <si>
    <t>70/30</t>
  </si>
  <si>
    <t>FR superó a AHP en AUC</t>
  </si>
  <si>
    <t>E075</t>
  </si>
  <si>
    <t>Goran Krsnik</t>
  </si>
  <si>
    <t>Environmental Challenges</t>
  </si>
  <si>
    <t>Spatial multi-criteria analysis for prioritising forest management zones to prevent large forest fires in Catalonia (NE Spain)</t>
  </si>
  <si>
    <t>10.1016/j.envc.2024.100959</t>
  </si>
  <si>
    <t>ESP</t>
  </si>
  <si>
    <t>España</t>
  </si>
  <si>
    <t>España (Cataluña, noreste)</t>
  </si>
  <si>
    <t>MAUT</t>
  </si>
  <si>
    <t>Otra (Datos espaciales multifuente)</t>
  </si>
  <si>
    <t>Priorización espacial de zonas para prevención de incendios grandes</t>
  </si>
  <si>
    <t>E076</t>
  </si>
  <si>
    <t>W. Liu</t>
  </si>
  <si>
    <t>Fire</t>
  </si>
  <si>
    <t>Integrating Multi-Source Data for Forest Fire Risk Assessment: A Case Study of Liangshan, China</t>
  </si>
  <si>
    <t>10.3390/fire9060243</t>
  </si>
  <si>
    <t>China (prefectura de Liangshan)</t>
  </si>
  <si>
    <t>Otra (Datos ambientales multifuente)</t>
  </si>
  <si>
    <t>Moran’s I</t>
  </si>
  <si>
    <t>Autocorrelación positiva del riesgo de incendio</t>
  </si>
  <si>
    <t>E077</t>
  </si>
  <si>
    <t>B. Wang</t>
  </si>
  <si>
    <t>Forest Fire Spread Hazard and Landscape Pattern Characteristics in the Mountainous District, Beijing</t>
  </si>
  <si>
    <t>10.3390/f14112139</t>
  </si>
  <si>
    <t>China (distrito montañoso de Beijing)</t>
  </si>
  <si>
    <t>Área de peligro alto (subcompartimentos)</t>
  </si>
  <si>
    <t>Agregación del peligro de propagación de incendio</t>
  </si>
  <si>
    <t>Otro resultado cuantitativo: Área de peligro alto (subcompartimentos) = 39.87 %.</t>
  </si>
  <si>
    <t>E078</t>
  </si>
  <si>
    <t>T. Memisoglu Baykal</t>
  </si>
  <si>
    <t>Natural Hazards</t>
  </si>
  <si>
    <t>Performance assessment of GIS-based spatial clustering methods in forest fire data</t>
  </si>
  <si>
    <t>10.1007/s11069-025-07135-0</t>
  </si>
  <si>
    <t>TUR</t>
  </si>
  <si>
    <t>Turquía</t>
  </si>
  <si>
    <t>Turquía (Türkiye)</t>
  </si>
  <si>
    <t>Otra (Registros de incendios)</t>
  </si>
  <si>
    <t>Comparación de tres métodos de puntos calientes</t>
  </si>
  <si>
    <t>E079</t>
  </si>
  <si>
    <t>S. Kumari</t>
  </si>
  <si>
    <t>International Journal of Wildland Fire</t>
  </si>
  <si>
    <t>Characterising spatial clusters of forest fire activity in the Western Himalayan region of India: implications for conservation and management</t>
  </si>
  <si>
    <t>10.1071/wf23163</t>
  </si>
  <si>
    <t>India (Himalaya occidental: Uttarakhand y Himachal Pradesh)</t>
  </si>
  <si>
    <t>Otra (Registros de incendios y clima)</t>
  </si>
  <si>
    <t>27–32</t>
  </si>
  <si>
    <t>Área de clústeres</t>
  </si>
  <si>
    <t>Clústeres significativos a elevaciones bajas/intermedias</t>
  </si>
  <si>
    <t>Otro resultado cuantitativo: Área de clústeres = 27–32 %.</t>
  </si>
  <si>
    <t>E080</t>
  </si>
  <si>
    <t>X. Wang</t>
  </si>
  <si>
    <t>Applicability Assessment of GFED4 and GFED5 on Forest Fires in Chinese Mainland and Its Fire-Scale Patterns Change</t>
  </si>
  <si>
    <t>10.3390/rs17203461</t>
  </si>
  <si>
    <t>China (China continental)</t>
  </si>
  <si>
    <t>Moran’s I (incendios pequeños)</t>
  </si>
  <si>
    <t>Incendios pequeños agregados espacialmente; grandes dispersos</t>
  </si>
  <si>
    <t>E081</t>
  </si>
  <si>
    <t>Z. Wu</t>
  </si>
  <si>
    <t>Analysis of Factors Related to Forest Fires in Different Forest Ecosystems in China</t>
  </si>
  <si>
    <t>10.3390/f13071021</t>
  </si>
  <si>
    <t>China (provincias de Heilongjiang, Jilin, Liaoning y Hebei).</t>
  </si>
  <si>
    <t>Autocorrelación espacial; Machine learning</t>
  </si>
  <si>
    <t>F1</t>
  </si>
  <si>
    <t>Incendios agregados; importancia de factores varía por provincia</t>
  </si>
  <si>
    <t>E082</t>
  </si>
  <si>
    <t>C. Risk</t>
  </si>
  <si>
    <t>Earth and Space Science</t>
  </si>
  <si>
    <t>Optimal cross-validation strategies for selection of spatial interpolation models for the Canadian forest fire weather index system</t>
  </si>
  <si>
    <t>10.1029/2021ea002019</t>
  </si>
  <si>
    <t>CAN</t>
  </si>
  <si>
    <t>Canadá</t>
  </si>
  <si>
    <t>Canadá (sistema canadiense del Índice Meteorológico de Incendios Forestales, FWI).</t>
  </si>
  <si>
    <t>Interpolación</t>
  </si>
  <si>
    <t>Interpolación (método no especificado)</t>
  </si>
  <si>
    <t>Estaciones</t>
  </si>
  <si>
    <t>Validación espacial o por bloques</t>
  </si>
  <si>
    <t>Comparación de estrategias para seleccionar interpoladores meteorológicos</t>
  </si>
  <si>
    <t>Validación: compara LOO y validación cruzada espacial.</t>
  </si>
  <si>
    <t>E083</t>
  </si>
  <si>
    <t>Yuwen Peng</t>
  </si>
  <si>
    <t>Reconstructing historical forest fire risk in the non-satellite era using the improved forest fire danger index and long short-term memory deep learning-a case study in Sichuan Province, southwestern China</t>
  </si>
  <si>
    <t>10.1016/j.fecs.2024.100170</t>
  </si>
  <si>
    <t>China (provincia de Sichuan, suroeste).</t>
  </si>
  <si>
    <t>SIG multicriterio; Machine learning</t>
  </si>
  <si>
    <t>LSTM mejor modelo; riesgo histórico reconstruido</t>
  </si>
  <si>
    <t>E084</t>
  </si>
  <si>
    <t>Fatih Sivrikaya</t>
  </si>
  <si>
    <t>Ecological Informatics</t>
  </si>
  <si>
    <t>Modeling forest fire risk based on GIS-based analytical hierarchy process and statistical analysis in Mediterranean region</t>
  </si>
  <si>
    <t>10.1016/j.ecoinf.2021.101537</t>
  </si>
  <si>
    <t>Turquía (Dirección Regional de Silvicultura de Mersin, Mediterráneo oriental).</t>
  </si>
  <si>
    <t>Más del 85% de igniciones en zonas de riesgo extremo o alto</t>
  </si>
  <si>
    <t>E085</t>
  </si>
  <si>
    <t>Geomatics, Natural Hazards and Risk</t>
  </si>
  <si>
    <t>Forest fire monitoring using spatial-statistical and Geo-spatial analysis of factors determining forest fire in Margalla Hills, Islamabad, Pakistan</t>
  </si>
  <si>
    <t>10.1080/19475705.2021.1920477</t>
  </si>
  <si>
    <t>Pakistán (Colinas de Margalla, Islamabad).</t>
  </si>
  <si>
    <t>Severidad asociada con vegetación, temperatura, viento y distancia a vías</t>
  </si>
  <si>
    <t>E086</t>
  </si>
  <si>
    <t>C. M. Hoffman</t>
  </si>
  <si>
    <t>A Comparison of Four Spatial Interpolation Methods for Modeling Fine-Scale Surface Fuel Load in a Mixed Conifer Forest with Complex Terrain</t>
  </si>
  <si>
    <t>10.3390/fire6060216</t>
  </si>
  <si>
    <t>Estados Unidos (sitio de bosque mixto de coníferas, probablemente en Colorado, ya que los autores son de Colorado State University y del USDA Forest Service en Fort Collins; el resumen no menciona el lugar exacto).</t>
  </si>
  <si>
    <t>Kriging ordinario</t>
  </si>
  <si>
    <t>Kriging de regresión resultó mejor para carga de combustible</t>
  </si>
  <si>
    <t>E087</t>
  </si>
  <si>
    <t>T. J. Schiks</t>
  </si>
  <si>
    <t>Remote Sensing Active Fire Detection Tools Support Growth Reconstruction for Large Boreal Wildfires</t>
  </si>
  <si>
    <t>10.3390/fire7010026</t>
  </si>
  <si>
    <t>Canadá (región boreal de la provincia de Ontario).</t>
  </si>
  <si>
    <t>MODIS; VIIRS / FIRMS</t>
  </si>
  <si>
    <t>Incendios validados</t>
  </si>
  <si>
    <t>Reconstrucción diaria de progresión de incendios boreales</t>
  </si>
  <si>
    <t>Otro resultado cuantitativo: Incendios validados = 37 incendios.</t>
  </si>
  <si>
    <t>E088</t>
  </si>
  <si>
    <t>X. Gao</t>
  </si>
  <si>
    <t>Density-Based Spatial Clustering of Vegetation Fire Points Based on Genetic Optimization of Threshold Values</t>
  </si>
  <si>
    <t>10.3390/fire8110431</t>
  </si>
  <si>
    <t>China (oeste de China).</t>
  </si>
  <si>
    <t>DBSCAN</t>
  </si>
  <si>
    <t>Regiones identificadas</t>
  </si>
  <si>
    <t>Ocho regiones de agrupación de incendios de vegetación</t>
  </si>
  <si>
    <t>Otro resultado cuantitativo: Regiones identificadas = 8 regiones.</t>
  </si>
  <si>
    <t>E089</t>
  </si>
  <si>
    <t>Yuping Tian</t>
  </si>
  <si>
    <t>Journal of Cleaner Production</t>
  </si>
  <si>
    <t>Assessing wildfire susceptibility and spatial patterns in diverse forest ecosystems across China: An integrated geospatial analysis</t>
  </si>
  <si>
    <t>10.1016/j.jclepro.2025.144800</t>
  </si>
  <si>
    <t>China (varios ecosistemas forestales: Heilongjiang, Sichuan, Shanxi, Fujian, Guangdong y Yunnan).</t>
  </si>
  <si>
    <t>XGBoost</t>
  </si>
  <si>
    <t>0.82–0.95</t>
  </si>
  <si>
    <t>AUC XGBoost</t>
  </si>
  <si>
    <t>Incendios agregados; XGBoost obtuvo desempeño superior</t>
  </si>
  <si>
    <t>Métrica AUC XGBoost = 0.82–0.95 (rango o desigualdad; no se registra como número).</t>
  </si>
  <si>
    <t>E090</t>
  </si>
  <si>
    <t>S. Kumar</t>
  </si>
  <si>
    <t>Hotspot and trend analysis of forest fires and its relation to climatic factors in the western Himalayas</t>
  </si>
  <si>
    <t>10.1007/s11069-022-05530-5</t>
  </si>
  <si>
    <t>India (Himalaya occidental, con Uttarakhand como el estado más propenso a incendios).</t>
  </si>
  <si>
    <t>Densidad kernel (KDE)</t>
  </si>
  <si>
    <t>Promedio incendios anuales</t>
  </si>
  <si>
    <t>Uttarakhand destacó como región más propensa; mayor influencia de LST que lluvia</t>
  </si>
  <si>
    <t>Otro resultado cuantitativo: Promedio incendios anuales = 1347 incendios/año. Usa densidad kernel (KDE).</t>
  </si>
  <si>
    <t>E091</t>
  </si>
  <si>
    <t>Churui Li</t>
  </si>
  <si>
    <t>A spatial pattern identification method for Forest fire risk based on multi-model weight fusion: A case study of Liangshan prefecture, Sichuan Province, China</t>
  </si>
  <si>
    <t>10.1016/j.ecolind.2026.115242</t>
  </si>
  <si>
    <t>China (prefectura de Liangshan, provincia de Sichuan; con el condado de Muli como caso de estudio).</t>
  </si>
  <si>
    <t>Registros históricos de incendios</t>
  </si>
  <si>
    <t>Zonificación preventiva multiescala e identificación de corredores</t>
  </si>
  <si>
    <t>Otro resultado cuantitativo: Registros históricos de incendios = 1165 registros.</t>
  </si>
  <si>
    <t>E092</t>
  </si>
  <si>
    <t>Hatef Dastour</t>
  </si>
  <si>
    <t>Analysis of forest fire patterns and their relationship with climate variables in Alberta's natural subregions</t>
  </si>
  <si>
    <t>10.1016/j.ecoinf.2024.102531</t>
  </si>
  <si>
    <t>Canadá (provincia de Alberta, por subregiones naturales).</t>
  </si>
  <si>
    <t>Tendencias de incendios variables por subregión y clima</t>
  </si>
  <si>
    <t>E093</t>
  </si>
  <si>
    <t>F. Valente</t>
  </si>
  <si>
    <t>A spatio-temporal analysis of fire occurrence patterns in the Brazilian Amazon</t>
  </si>
  <si>
    <t>10.1038/s41598-023-39875-z</t>
  </si>
  <si>
    <t>Brasil (Amazonía brasileña).</t>
  </si>
  <si>
    <t>Proceso de Cox</t>
  </si>
  <si>
    <t>Ocurrencia decreció hasta 2012 y luego aumentó</t>
  </si>
  <si>
    <t>E094</t>
  </si>
  <si>
    <t>Tapan Dhar</t>
  </si>
  <si>
    <t>Forest fire occurrence, distribution and risk mapping using geoinformation technology: A case study in the sub-tropical forest of the Meghalaya, India</t>
  </si>
  <si>
    <t>10.1016/j.rsase.2022.100883</t>
  </si>
  <si>
    <t>India (estado de Meghalaya, noreste).</t>
  </si>
  <si>
    <t>Cartografía de riesgo en cuatro categorías</t>
  </si>
  <si>
    <t>E095</t>
  </si>
  <si>
    <t>S. Tavakkoli Piralilou</t>
  </si>
  <si>
    <t>A Google Earth Engine Approach for Wildfire Susceptibility Prediction Fusion with Remote Sensing Data of Different Spatial Resolutions</t>
  </si>
  <si>
    <t>10.3390/rs14030672</t>
  </si>
  <si>
    <t>IRN</t>
  </si>
  <si>
    <t>Irán</t>
  </si>
  <si>
    <t>Irán (bosques de la provincia de Guilan).</t>
  </si>
  <si>
    <t>Landsat; Sentinel-2; MODIS; DEM</t>
  </si>
  <si>
    <t>Validación cruzada k-fold</t>
  </si>
  <si>
    <t>La fusión DST y RF alcanzó mayor AUC</t>
  </si>
  <si>
    <t>E096</t>
  </si>
  <si>
    <t>S. T. Seydi</t>
  </si>
  <si>
    <t>Wildfire Damage Assessment over Australia Using Sentinel-2 Imagery and MODIS Land Cover Product within the Google Earth Engine Cloud Platform</t>
  </si>
  <si>
    <t>10.3390/rs13020220</t>
  </si>
  <si>
    <t>AUS</t>
  </si>
  <si>
    <t>Australia</t>
  </si>
  <si>
    <t>Oceanía</t>
  </si>
  <si>
    <t>Sentinel-2; MODIS</t>
  </si>
  <si>
    <t>Exactitud global</t>
  </si>
  <si>
    <t>Mapas de área quemada con buena precisión y kappa</t>
  </si>
  <si>
    <t>E097</t>
  </si>
  <si>
    <t>Jhon Walter Gómez-Lora</t>
  </si>
  <si>
    <t>Madera y Bosques</t>
  </si>
  <si>
    <t>Evaluación del bosque húmedo tropical mediante el análisis de la cobertura fraccional y técnicas SIG en la subcuenca del río Yuracyacu, Amazonía peruana</t>
  </si>
  <si>
    <t>10.21829/myb.2021.2722109</t>
  </si>
  <si>
    <t>Perú (Subcuenca del río Yuracyacu, Amazonía peruana)</t>
  </si>
  <si>
    <t>En este estudio se evaluó la cobertura boscosa en la subcuenca del río Yuracyacu durante el periodo 1989-2010. Para esto se utilizaron 6 imágenes satelitales Landsat del sensor Thematic Mapper de los años 1989, 1995, 2001, 2006, 2008, 2010, sobre las cuales se realizaron los respectivos procesamientos utilizando CLASlite mediante el análisis de la cobertura fraccional. Durante el periodo 1989-1995 se obtuvo una pérdida de 18.2 km2 de la cobertura</t>
  </si>
  <si>
    <t>id_estudio</t>
  </si>
  <si>
    <t>id_registro</t>
  </si>
  <si>
    <t>integrante</t>
  </si>
  <si>
    <t>autor</t>
  </si>
  <si>
    <t>anio</t>
  </si>
  <si>
    <t>revista</t>
  </si>
  <si>
    <t>titulo</t>
  </si>
  <si>
    <t>doi</t>
  </si>
  <si>
    <t>plataforma</t>
  </si>
  <si>
    <t>fenomeno</t>
  </si>
  <si>
    <t>pais_iso3</t>
  </si>
  <si>
    <t>pais</t>
  </si>
  <si>
    <t>continente</t>
  </si>
  <si>
    <t>peru</t>
  </si>
  <si>
    <t>area_estudio</t>
  </si>
  <si>
    <t>tecnica_ppal</t>
  </si>
  <si>
    <t>metodo</t>
  </si>
  <si>
    <t>tecnicas_secundarias</t>
  </si>
  <si>
    <t>tipo_problema</t>
  </si>
  <si>
    <t>tecnica_resumen</t>
  </si>
  <si>
    <t>motor_ppal</t>
  </si>
  <si>
    <t>motores_datos</t>
  </si>
  <si>
    <t>estad_patron</t>
  </si>
  <si>
    <t>patron</t>
  </si>
  <si>
    <t>dependencia</t>
  </si>
  <si>
    <t>factores</t>
  </si>
  <si>
    <t>factor_principal</t>
  </si>
  <si>
    <t>asociacion</t>
  </si>
  <si>
    <t>tec_validacion</t>
  </si>
  <si>
    <t>prop_validacion</t>
  </si>
  <si>
    <t>metrica</t>
  </si>
  <si>
    <t>valor_metrica</t>
  </si>
  <si>
    <t>metrica_otra</t>
  </si>
  <si>
    <t>rango_valor</t>
  </si>
  <si>
    <t>calidad_global</t>
  </si>
  <si>
    <t>resultado_principal</t>
  </si>
  <si>
    <t>observaciones</t>
  </si>
  <si>
    <t>A. Identificación</t>
  </si>
  <si>
    <t>P · Población</t>
  </si>
  <si>
    <t>I · Intervención: técnica y motor de datos</t>
  </si>
  <si>
    <t>O · Resultados: patrón, factores, validación, desempeño y calidad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</si>
</sst>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0"/>
      <name val="Arial"/>
      <family val="2"/>
    </font>
    <font>
      <b/>
      <sz val="11"/>
      <name val="Calibri"/>
      <family val="2"/>
      <scheme val="minor"/>
    </font>
  </fonts>
  <fills count="7">
    <fill>
      <patternFill patternType="none"/>
    </fill>
    <fill>
      <patternFill patternType="gray125"/>
    </fill>
    <fill>
      <patternFill patternType="solid">
        <fgColor rgb="FFEDEDED"/>
        <bgColor rgb="FFDDEBF7"/>
      </patternFill>
    </fill>
    <fill>
      <patternFill patternType="solid">
        <fgColor rgb="FF92D050"/>
        <bgColor indexed="64"/>
      </patternFill>
    </fill>
    <fill>
      <patternFill patternType="solid">
        <fgColor rgb="FFFFCC99"/>
        <bgColor indexed="64"/>
      </patternFill>
    </fill>
    <fill>
      <patternFill patternType="solid">
        <fgColor rgb="FF6699FF"/>
        <bgColor indexed="64"/>
      </patternFill>
    </fill>
    <fill>
      <patternFill patternType="solid">
        <fgColor rgb="FFCC99FF"/>
        <bgColor indexed="64"/>
      </patternFill>
    </fill>
  </fills>
  <borders count="2">
    <border>
      <left/>
      <right/>
      <top/>
      <bottom/>
      <diagonal/>
    </border>
    <border>
      <left style="thin">
        <color rgb="FFBFC5CD"/>
      </left>
      <right style="thin">
        <color rgb="FFBFC5CD"/>
      </right>
      <top style="thin">
        <color rgb="FFBFC5CD"/>
      </top>
      <bottom style="thin">
        <color rgb="FFBFC5CD"/>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0" xfId="0" applyFont="1" applyAlignment="1">
      <alignment horizontal="center" vertical="center"/>
    </xf>
    <xf numFmtId="0" fontId="2" fillId="0" borderId="1" xfId="0" applyFont="1" applyBorder="1" applyAlignment="1">
      <alignment horizontal="left"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CC99FF"/>
      <color rgb="FF6699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0A318-3367-477A-9A43-F912AC7CC122}">
  <dimension ref="A1:AK98"/>
  <sheetViews>
    <sheetView tabSelected="1" workbookViewId="0">
      <selection activeCell="E6" sqref="E6"/>
    </sheetView>
  </sheetViews>
  <sheetFormatPr baseColWidth="10" defaultRowHeight="15" x14ac:dyDescent="0.25"/>
  <cols>
    <col min="7" max="7" width="40.42578125" customWidth="1"/>
  </cols>
  <sheetData>
    <row r="1" spans="1:37" x14ac:dyDescent="0.25">
      <c r="A1" s="10" t="s">
        <v>893</v>
      </c>
      <c r="B1" s="10"/>
      <c r="C1" s="10"/>
      <c r="D1" s="10"/>
      <c r="E1" s="10"/>
      <c r="F1" s="10"/>
      <c r="G1" s="10"/>
      <c r="H1" s="10"/>
      <c r="I1" s="10"/>
      <c r="J1" s="9" t="s">
        <v>894</v>
      </c>
      <c r="K1" s="9"/>
      <c r="L1" s="9"/>
      <c r="M1" s="9"/>
      <c r="N1" s="9"/>
      <c r="O1" s="9"/>
      <c r="P1" s="8" t="s">
        <v>895</v>
      </c>
      <c r="Q1" s="8"/>
      <c r="R1" s="8"/>
      <c r="S1" s="8"/>
      <c r="T1" s="8"/>
      <c r="U1" s="8"/>
      <c r="V1" s="8"/>
      <c r="W1" s="7" t="s">
        <v>896</v>
      </c>
      <c r="X1" s="7"/>
      <c r="Y1" s="7"/>
      <c r="Z1" s="7"/>
      <c r="AA1" s="7"/>
      <c r="AB1" s="7"/>
      <c r="AC1" s="7"/>
      <c r="AD1" s="7"/>
      <c r="AE1" s="7"/>
      <c r="AF1" s="7"/>
      <c r="AG1" s="7"/>
      <c r="AH1" s="7"/>
      <c r="AI1" s="7"/>
      <c r="AJ1" s="7"/>
      <c r="AK1" s="7"/>
    </row>
    <row r="2" spans="1:37" x14ac:dyDescent="0.25">
      <c r="A2" s="5" t="s">
        <v>856</v>
      </c>
      <c r="B2" s="5" t="s">
        <v>857</v>
      </c>
      <c r="C2" s="5" t="s">
        <v>858</v>
      </c>
      <c r="D2" s="5" t="s">
        <v>859</v>
      </c>
      <c r="E2" s="5" t="s">
        <v>860</v>
      </c>
      <c r="F2" s="5" t="s">
        <v>861</v>
      </c>
      <c r="G2" s="5" t="s">
        <v>862</v>
      </c>
      <c r="H2" s="5" t="s">
        <v>863</v>
      </c>
      <c r="I2" s="5" t="s">
        <v>864</v>
      </c>
      <c r="J2" s="5" t="s">
        <v>865</v>
      </c>
      <c r="K2" s="5" t="s">
        <v>866</v>
      </c>
      <c r="L2" s="5" t="s">
        <v>867</v>
      </c>
      <c r="M2" s="5" t="s">
        <v>868</v>
      </c>
      <c r="N2" s="5" t="s">
        <v>869</v>
      </c>
      <c r="O2" s="5" t="s">
        <v>870</v>
      </c>
      <c r="P2" s="5" t="s">
        <v>871</v>
      </c>
      <c r="Q2" s="5" t="s">
        <v>872</v>
      </c>
      <c r="R2" s="5" t="s">
        <v>873</v>
      </c>
      <c r="S2" s="5" t="s">
        <v>874</v>
      </c>
      <c r="T2" s="5" t="s">
        <v>875</v>
      </c>
      <c r="U2" s="5" t="s">
        <v>876</v>
      </c>
      <c r="V2" s="5" t="s">
        <v>877</v>
      </c>
      <c r="W2" s="5" t="s">
        <v>878</v>
      </c>
      <c r="X2" s="5" t="s">
        <v>879</v>
      </c>
      <c r="Y2" s="5" t="s">
        <v>880</v>
      </c>
      <c r="Z2" s="5" t="s">
        <v>881</v>
      </c>
      <c r="AA2" s="5" t="s">
        <v>882</v>
      </c>
      <c r="AB2" s="5" t="s">
        <v>883</v>
      </c>
      <c r="AC2" s="5" t="s">
        <v>884</v>
      </c>
      <c r="AD2" s="5" t="s">
        <v>885</v>
      </c>
      <c r="AE2" s="5" t="s">
        <v>886</v>
      </c>
      <c r="AF2" s="5" t="s">
        <v>887</v>
      </c>
      <c r="AG2" s="5" t="s">
        <v>888</v>
      </c>
      <c r="AH2" s="5" t="s">
        <v>889</v>
      </c>
      <c r="AI2" s="5" t="s">
        <v>890</v>
      </c>
      <c r="AJ2" s="5" t="s">
        <v>891</v>
      </c>
      <c r="AK2" s="5" t="s">
        <v>892</v>
      </c>
    </row>
    <row r="3" spans="1:37" ht="24.95" customHeight="1" x14ac:dyDescent="0.25">
      <c r="A3" s="1" t="s">
        <v>0</v>
      </c>
      <c r="B3" s="1">
        <v>61</v>
      </c>
      <c r="C3" s="1" t="s">
        <v>1</v>
      </c>
      <c r="D3" s="6" t="s">
        <v>2</v>
      </c>
      <c r="E3" s="1">
        <v>2021</v>
      </c>
      <c r="F3" s="6" t="s">
        <v>3</v>
      </c>
      <c r="G3" s="2" t="s">
        <v>4</v>
      </c>
      <c r="H3" s="1" t="s">
        <v>5</v>
      </c>
      <c r="I3" s="1" t="s">
        <v>6</v>
      </c>
      <c r="J3" s="1" t="s">
        <v>7</v>
      </c>
      <c r="K3" s="1" t="s">
        <v>8</v>
      </c>
      <c r="L3" s="1" t="s">
        <v>9</v>
      </c>
      <c r="M3" s="1" t="s">
        <v>10</v>
      </c>
      <c r="N3" s="1" t="s">
        <v>11</v>
      </c>
      <c r="O3" s="2" t="s">
        <v>12</v>
      </c>
      <c r="P3" s="1" t="s">
        <v>13</v>
      </c>
      <c r="Q3" s="1" t="s">
        <v>14</v>
      </c>
      <c r="R3" s="1" t="s">
        <v>15</v>
      </c>
      <c r="S3" s="1" t="s">
        <v>16</v>
      </c>
      <c r="T3" s="3" t="str">
        <f t="shared" ref="T3:T66" si="0">IF(OR(P3="",S3="NR"),"NR",P3&amp;" – "&amp;S3)</f>
        <v>Patrones de puntos – Descriptivo</v>
      </c>
      <c r="U3" s="1" t="s">
        <v>17</v>
      </c>
      <c r="V3" s="2" t="s">
        <v>17</v>
      </c>
      <c r="W3" s="1" t="s">
        <v>18</v>
      </c>
      <c r="X3" s="1" t="s">
        <v>19</v>
      </c>
      <c r="Y3" s="1" t="s">
        <v>20</v>
      </c>
      <c r="Z3" s="2" t="s">
        <v>21</v>
      </c>
      <c r="AA3" s="1" t="s">
        <v>22</v>
      </c>
      <c r="AB3" s="1" t="s">
        <v>20</v>
      </c>
      <c r="AC3" s="1" t="s">
        <v>23</v>
      </c>
      <c r="AD3" s="1" t="s">
        <v>22</v>
      </c>
      <c r="AE3" s="1" t="s">
        <v>6</v>
      </c>
      <c r="AF3" s="1">
        <v>11.25</v>
      </c>
      <c r="AG3" s="1" t="s">
        <v>24</v>
      </c>
      <c r="AH3" s="4" t="str">
        <f t="shared" ref="AH3:AH66" si="1">IF(NOT(ISNUMBER(AF3)),IF(LEFT(AE3,9)="No aplica","No aplica","NR"),IF(AE3="AUC",IF(AF3&lt;0.7,"Bajo",IF(AF3&lt;0.8,"Aceptable",IF(AF3&lt;0.9,"Bueno","Excelente"))),IF(AE3="Kappa",IF(AF3&lt;=0.4,"Débil",IF(AF3&lt;=0.6,"Moderado",IF(AF3&lt;=0.8,"Sustancial","Casi perfecto"))),IF(AE3="Exactitud global",IF(AF3&lt;0.85,"Bajo el umbral","Cumple el umbral"),IF(OR(AE3="R²",AE3="F1"),IF(AF3&lt;0.5,"Bajo",IF(AF3&lt;0.7,"Moderado","Alto")),"Sin rango")))))</f>
        <v>Sin rango</v>
      </c>
      <c r="AI3" s="1" t="s">
        <v>25</v>
      </c>
      <c r="AJ3" s="2" t="s">
        <v>26</v>
      </c>
      <c r="AK3" s="2" t="s">
        <v>27</v>
      </c>
    </row>
    <row r="4" spans="1:37" ht="24.95" customHeight="1" x14ac:dyDescent="0.25">
      <c r="A4" s="1" t="s">
        <v>28</v>
      </c>
      <c r="B4" s="1">
        <v>65</v>
      </c>
      <c r="C4" s="1" t="s">
        <v>1</v>
      </c>
      <c r="D4" s="6" t="s">
        <v>29</v>
      </c>
      <c r="E4" s="1">
        <v>2024</v>
      </c>
      <c r="F4" s="6" t="s">
        <v>30</v>
      </c>
      <c r="G4" s="2" t="s">
        <v>31</v>
      </c>
      <c r="H4" s="1" t="s">
        <v>32</v>
      </c>
      <c r="I4" s="1" t="s">
        <v>33</v>
      </c>
      <c r="J4" s="1" t="s">
        <v>7</v>
      </c>
      <c r="K4" s="1" t="s">
        <v>34</v>
      </c>
      <c r="L4" s="1" t="s">
        <v>35</v>
      </c>
      <c r="M4" s="1" t="s">
        <v>10</v>
      </c>
      <c r="N4" s="1" t="s">
        <v>11</v>
      </c>
      <c r="O4" s="2" t="s">
        <v>36</v>
      </c>
      <c r="P4" s="1" t="s">
        <v>37</v>
      </c>
      <c r="Q4" s="1" t="s">
        <v>38</v>
      </c>
      <c r="R4" s="1" t="s">
        <v>15</v>
      </c>
      <c r="S4" s="1" t="s">
        <v>39</v>
      </c>
      <c r="T4" s="3" t="str">
        <f t="shared" si="0"/>
        <v>Machine learning – Clasificación</v>
      </c>
      <c r="U4" s="1" t="s">
        <v>6</v>
      </c>
      <c r="V4" s="2" t="s">
        <v>40</v>
      </c>
      <c r="W4" s="1" t="s">
        <v>41</v>
      </c>
      <c r="X4" s="1" t="s">
        <v>42</v>
      </c>
      <c r="Y4" s="1" t="s">
        <v>20</v>
      </c>
      <c r="Z4" s="2" t="s">
        <v>43</v>
      </c>
      <c r="AA4" s="1" t="s">
        <v>44</v>
      </c>
      <c r="AB4" s="1" t="s">
        <v>45</v>
      </c>
      <c r="AC4" s="1" t="s">
        <v>25</v>
      </c>
      <c r="AD4" s="1" t="s">
        <v>25</v>
      </c>
      <c r="AE4" s="1" t="s">
        <v>6</v>
      </c>
      <c r="AF4" s="1">
        <v>2329</v>
      </c>
      <c r="AG4" s="1" t="s">
        <v>46</v>
      </c>
      <c r="AH4" s="4" t="str">
        <f t="shared" si="1"/>
        <v>Sin rango</v>
      </c>
      <c r="AI4" s="1" t="s">
        <v>25</v>
      </c>
      <c r="AJ4" s="2" t="s">
        <v>47</v>
      </c>
      <c r="AK4" s="2" t="s">
        <v>48</v>
      </c>
    </row>
    <row r="5" spans="1:37" ht="24.95" customHeight="1" x14ac:dyDescent="0.25">
      <c r="A5" s="1" t="s">
        <v>49</v>
      </c>
      <c r="B5" s="1">
        <v>66</v>
      </c>
      <c r="C5" s="1" t="s">
        <v>1</v>
      </c>
      <c r="D5" s="6" t="s">
        <v>50</v>
      </c>
      <c r="E5" s="1">
        <v>2021</v>
      </c>
      <c r="F5" s="6" t="s">
        <v>51</v>
      </c>
      <c r="G5" s="2" t="s">
        <v>52</v>
      </c>
      <c r="H5" s="1" t="s">
        <v>53</v>
      </c>
      <c r="I5" s="1" t="s">
        <v>54</v>
      </c>
      <c r="J5" s="1" t="s">
        <v>7</v>
      </c>
      <c r="K5" s="1" t="s">
        <v>55</v>
      </c>
      <c r="L5" s="1" t="s">
        <v>56</v>
      </c>
      <c r="M5" s="1" t="s">
        <v>57</v>
      </c>
      <c r="N5" s="1" t="s">
        <v>11</v>
      </c>
      <c r="O5" s="2" t="s">
        <v>58</v>
      </c>
      <c r="P5" s="1" t="s">
        <v>13</v>
      </c>
      <c r="Q5" s="1" t="s">
        <v>59</v>
      </c>
      <c r="R5" s="1" t="s">
        <v>15</v>
      </c>
      <c r="S5" s="1" t="s">
        <v>16</v>
      </c>
      <c r="T5" s="3" t="str">
        <f t="shared" si="0"/>
        <v>Patrones de puntos – Descriptivo</v>
      </c>
      <c r="U5" s="1" t="s">
        <v>17</v>
      </c>
      <c r="V5" s="2" t="s">
        <v>17</v>
      </c>
      <c r="W5" s="1" t="s">
        <v>60</v>
      </c>
      <c r="X5" s="1" t="s">
        <v>42</v>
      </c>
      <c r="Y5" s="1" t="s">
        <v>20</v>
      </c>
      <c r="Z5" s="2" t="s">
        <v>21</v>
      </c>
      <c r="AA5" s="1" t="s">
        <v>22</v>
      </c>
      <c r="AB5" s="1" t="s">
        <v>20</v>
      </c>
      <c r="AC5" s="1" t="s">
        <v>23</v>
      </c>
      <c r="AD5" s="1" t="s">
        <v>22</v>
      </c>
      <c r="AE5" s="1" t="s">
        <v>23</v>
      </c>
      <c r="AF5" s="1" t="s">
        <v>22</v>
      </c>
      <c r="AG5" s="1"/>
      <c r="AH5" s="4" t="str">
        <f t="shared" si="1"/>
        <v>No aplica</v>
      </c>
      <c r="AI5" s="1" t="s">
        <v>25</v>
      </c>
      <c r="AJ5" s="2" t="s">
        <v>61</v>
      </c>
      <c r="AK5" s="2" t="s">
        <v>62</v>
      </c>
    </row>
    <row r="6" spans="1:37" ht="24.95" customHeight="1" x14ac:dyDescent="0.25">
      <c r="A6" s="1" t="s">
        <v>63</v>
      </c>
      <c r="B6" s="1">
        <v>67</v>
      </c>
      <c r="C6" s="1" t="s">
        <v>1</v>
      </c>
      <c r="D6" s="6" t="s">
        <v>64</v>
      </c>
      <c r="E6" s="1">
        <v>2024</v>
      </c>
      <c r="F6" s="6" t="s">
        <v>65</v>
      </c>
      <c r="G6" s="2" t="s">
        <v>66</v>
      </c>
      <c r="H6" s="1" t="s">
        <v>67</v>
      </c>
      <c r="I6" s="1" t="s">
        <v>68</v>
      </c>
      <c r="J6" s="1" t="s">
        <v>7</v>
      </c>
      <c r="K6" s="1" t="s">
        <v>69</v>
      </c>
      <c r="L6" s="1" t="s">
        <v>70</v>
      </c>
      <c r="M6" s="1" t="s">
        <v>71</v>
      </c>
      <c r="N6" s="1" t="s">
        <v>11</v>
      </c>
      <c r="O6" s="2" t="s">
        <v>72</v>
      </c>
      <c r="P6" s="1" t="s">
        <v>73</v>
      </c>
      <c r="Q6" s="1" t="s">
        <v>74</v>
      </c>
      <c r="R6" s="1" t="s">
        <v>75</v>
      </c>
      <c r="S6" s="1" t="s">
        <v>76</v>
      </c>
      <c r="T6" s="3" t="str">
        <f t="shared" si="0"/>
        <v>Regresión espacial – Regresión</v>
      </c>
      <c r="U6" s="1" t="s">
        <v>17</v>
      </c>
      <c r="V6" s="2" t="s">
        <v>77</v>
      </c>
      <c r="W6" s="1" t="s">
        <v>78</v>
      </c>
      <c r="X6" s="1" t="s">
        <v>79</v>
      </c>
      <c r="Y6" s="1" t="s">
        <v>80</v>
      </c>
      <c r="Z6" s="2" t="s">
        <v>81</v>
      </c>
      <c r="AA6" s="1" t="s">
        <v>82</v>
      </c>
      <c r="AB6" s="1" t="s">
        <v>25</v>
      </c>
      <c r="AC6" s="1" t="s">
        <v>25</v>
      </c>
      <c r="AD6" s="1" t="s">
        <v>25</v>
      </c>
      <c r="AE6" s="1" t="s">
        <v>83</v>
      </c>
      <c r="AF6" s="1">
        <v>0.57999999999999996</v>
      </c>
      <c r="AG6" s="1"/>
      <c r="AH6" s="4" t="str">
        <f t="shared" si="1"/>
        <v>Moderado</v>
      </c>
      <c r="AI6" s="1" t="s">
        <v>25</v>
      </c>
      <c r="AJ6" s="2" t="s">
        <v>84</v>
      </c>
      <c r="AK6" s="2"/>
    </row>
    <row r="7" spans="1:37" ht="24.95" customHeight="1" x14ac:dyDescent="0.25">
      <c r="A7" s="1" t="s">
        <v>85</v>
      </c>
      <c r="B7" s="1">
        <v>68</v>
      </c>
      <c r="C7" s="1" t="s">
        <v>1</v>
      </c>
      <c r="D7" s="6" t="s">
        <v>86</v>
      </c>
      <c r="E7" s="1">
        <v>2026</v>
      </c>
      <c r="F7" s="6" t="s">
        <v>87</v>
      </c>
      <c r="G7" s="2" t="s">
        <v>88</v>
      </c>
      <c r="H7" s="1" t="s">
        <v>89</v>
      </c>
      <c r="I7" s="1" t="s">
        <v>90</v>
      </c>
      <c r="J7" s="1" t="s">
        <v>7</v>
      </c>
      <c r="K7" s="1" t="s">
        <v>91</v>
      </c>
      <c r="L7" s="1" t="s">
        <v>92</v>
      </c>
      <c r="M7" s="1" t="s">
        <v>10</v>
      </c>
      <c r="N7" s="1" t="s">
        <v>11</v>
      </c>
      <c r="O7" s="2" t="s">
        <v>93</v>
      </c>
      <c r="P7" s="1" t="s">
        <v>13</v>
      </c>
      <c r="Q7" s="1" t="s">
        <v>59</v>
      </c>
      <c r="R7" s="1" t="s">
        <v>15</v>
      </c>
      <c r="S7" s="1" t="s">
        <v>16</v>
      </c>
      <c r="T7" s="3" t="str">
        <f t="shared" si="0"/>
        <v>Patrones de puntos – Descriptivo</v>
      </c>
      <c r="U7" s="1" t="s">
        <v>17</v>
      </c>
      <c r="V7" s="2" t="s">
        <v>17</v>
      </c>
      <c r="W7" s="1" t="s">
        <v>60</v>
      </c>
      <c r="X7" s="1" t="s">
        <v>19</v>
      </c>
      <c r="Y7" s="1" t="s">
        <v>20</v>
      </c>
      <c r="Z7" s="2" t="s">
        <v>21</v>
      </c>
      <c r="AA7" s="1" t="s">
        <v>22</v>
      </c>
      <c r="AB7" s="1" t="s">
        <v>20</v>
      </c>
      <c r="AC7" s="1" t="s">
        <v>23</v>
      </c>
      <c r="AD7" s="1" t="s">
        <v>22</v>
      </c>
      <c r="AE7" s="1" t="s">
        <v>23</v>
      </c>
      <c r="AF7" s="1" t="s">
        <v>22</v>
      </c>
      <c r="AG7" s="1"/>
      <c r="AH7" s="4" t="str">
        <f t="shared" si="1"/>
        <v>No aplica</v>
      </c>
      <c r="AI7" s="1" t="s">
        <v>25</v>
      </c>
      <c r="AJ7" s="2" t="s">
        <v>94</v>
      </c>
      <c r="AK7" s="2"/>
    </row>
    <row r="8" spans="1:37" ht="24.95" customHeight="1" x14ac:dyDescent="0.25">
      <c r="A8" s="1" t="s">
        <v>95</v>
      </c>
      <c r="B8" s="1">
        <v>70</v>
      </c>
      <c r="C8" s="1" t="s">
        <v>1</v>
      </c>
      <c r="D8" s="6" t="s">
        <v>96</v>
      </c>
      <c r="E8" s="1">
        <v>2026</v>
      </c>
      <c r="F8" s="6" t="s">
        <v>97</v>
      </c>
      <c r="G8" s="2" t="s">
        <v>98</v>
      </c>
      <c r="H8" s="1" t="s">
        <v>99</v>
      </c>
      <c r="I8" s="1" t="s">
        <v>100</v>
      </c>
      <c r="J8" s="1" t="s">
        <v>7</v>
      </c>
      <c r="K8" s="1" t="s">
        <v>34</v>
      </c>
      <c r="L8" s="1" t="s">
        <v>35</v>
      </c>
      <c r="M8" s="1" t="s">
        <v>10</v>
      </c>
      <c r="N8" s="1" t="s">
        <v>11</v>
      </c>
      <c r="O8" s="2" t="s">
        <v>101</v>
      </c>
      <c r="P8" s="1" t="s">
        <v>13</v>
      </c>
      <c r="Q8" s="1" t="s">
        <v>102</v>
      </c>
      <c r="R8" s="1" t="s">
        <v>15</v>
      </c>
      <c r="S8" s="1" t="s">
        <v>16</v>
      </c>
      <c r="T8" s="3" t="str">
        <f t="shared" si="0"/>
        <v>Patrones de puntos – Descriptivo</v>
      </c>
      <c r="U8" s="1" t="s">
        <v>17</v>
      </c>
      <c r="V8" s="2" t="s">
        <v>17</v>
      </c>
      <c r="W8" s="1" t="s">
        <v>60</v>
      </c>
      <c r="X8" s="1" t="s">
        <v>19</v>
      </c>
      <c r="Y8" s="1" t="s">
        <v>20</v>
      </c>
      <c r="Z8" s="2" t="s">
        <v>21</v>
      </c>
      <c r="AA8" s="1" t="s">
        <v>22</v>
      </c>
      <c r="AB8" s="1" t="s">
        <v>20</v>
      </c>
      <c r="AC8" s="1" t="s">
        <v>23</v>
      </c>
      <c r="AD8" s="1" t="s">
        <v>22</v>
      </c>
      <c r="AE8" s="1" t="s">
        <v>6</v>
      </c>
      <c r="AF8" s="1">
        <v>3.89</v>
      </c>
      <c r="AG8" s="1" t="s">
        <v>103</v>
      </c>
      <c r="AH8" s="4" t="str">
        <f t="shared" si="1"/>
        <v>Sin rango</v>
      </c>
      <c r="AI8" s="1" t="s">
        <v>25</v>
      </c>
      <c r="AJ8" s="2" t="s">
        <v>104</v>
      </c>
      <c r="AK8" s="2" t="s">
        <v>105</v>
      </c>
    </row>
    <row r="9" spans="1:37" ht="24.95" customHeight="1" x14ac:dyDescent="0.25">
      <c r="A9" s="1" t="s">
        <v>106</v>
      </c>
      <c r="B9" s="1">
        <v>71</v>
      </c>
      <c r="C9" s="1" t="s">
        <v>1</v>
      </c>
      <c r="D9" s="6" t="s">
        <v>107</v>
      </c>
      <c r="E9" s="1">
        <v>2024</v>
      </c>
      <c r="F9" s="6" t="s">
        <v>97</v>
      </c>
      <c r="G9" s="2" t="s">
        <v>108</v>
      </c>
      <c r="H9" s="1" t="s">
        <v>109</v>
      </c>
      <c r="I9" s="1" t="s">
        <v>100</v>
      </c>
      <c r="J9" s="1" t="s">
        <v>7</v>
      </c>
      <c r="K9" s="1" t="s">
        <v>34</v>
      </c>
      <c r="L9" s="1" t="s">
        <v>35</v>
      </c>
      <c r="M9" s="1" t="s">
        <v>10</v>
      </c>
      <c r="N9" s="1" t="s">
        <v>11</v>
      </c>
      <c r="O9" s="2" t="s">
        <v>110</v>
      </c>
      <c r="P9" s="1" t="s">
        <v>13</v>
      </c>
      <c r="Q9" s="1" t="s">
        <v>111</v>
      </c>
      <c r="R9" s="1" t="s">
        <v>15</v>
      </c>
      <c r="S9" s="1" t="s">
        <v>16</v>
      </c>
      <c r="T9" s="3" t="str">
        <f t="shared" si="0"/>
        <v>Patrones de puntos – Descriptivo</v>
      </c>
      <c r="U9" s="1" t="s">
        <v>17</v>
      </c>
      <c r="V9" s="2" t="s">
        <v>17</v>
      </c>
      <c r="W9" s="1" t="s">
        <v>60</v>
      </c>
      <c r="X9" s="1" t="s">
        <v>79</v>
      </c>
      <c r="Y9" s="1" t="s">
        <v>20</v>
      </c>
      <c r="Z9" s="2" t="s">
        <v>21</v>
      </c>
      <c r="AA9" s="1" t="s">
        <v>22</v>
      </c>
      <c r="AB9" s="1" t="s">
        <v>20</v>
      </c>
      <c r="AC9" s="1" t="s">
        <v>23</v>
      </c>
      <c r="AD9" s="1" t="s">
        <v>22</v>
      </c>
      <c r="AE9" s="1" t="s">
        <v>23</v>
      </c>
      <c r="AF9" s="1" t="s">
        <v>22</v>
      </c>
      <c r="AG9" s="1"/>
      <c r="AH9" s="4" t="str">
        <f t="shared" si="1"/>
        <v>No aplica</v>
      </c>
      <c r="AI9" s="1" t="s">
        <v>25</v>
      </c>
      <c r="AJ9" s="2" t="s">
        <v>112</v>
      </c>
      <c r="AK9" s="2"/>
    </row>
    <row r="10" spans="1:37" ht="24.95" customHeight="1" x14ac:dyDescent="0.25">
      <c r="A10" s="1" t="s">
        <v>113</v>
      </c>
      <c r="B10" s="1">
        <v>72</v>
      </c>
      <c r="C10" s="1" t="s">
        <v>1</v>
      </c>
      <c r="D10" s="6" t="s">
        <v>114</v>
      </c>
      <c r="E10" s="1">
        <v>2021</v>
      </c>
      <c r="F10" s="6" t="s">
        <v>115</v>
      </c>
      <c r="G10" s="2" t="s">
        <v>116</v>
      </c>
      <c r="H10" s="1" t="s">
        <v>117</v>
      </c>
      <c r="I10" s="1" t="s">
        <v>6</v>
      </c>
      <c r="J10" s="1" t="s">
        <v>7</v>
      </c>
      <c r="K10" s="1" t="s">
        <v>34</v>
      </c>
      <c r="L10" s="1" t="s">
        <v>35</v>
      </c>
      <c r="M10" s="1" t="s">
        <v>10</v>
      </c>
      <c r="N10" s="1" t="s">
        <v>11</v>
      </c>
      <c r="O10" s="2" t="s">
        <v>118</v>
      </c>
      <c r="P10" s="1" t="s">
        <v>13</v>
      </c>
      <c r="Q10" s="1" t="s">
        <v>111</v>
      </c>
      <c r="R10" s="1" t="s">
        <v>15</v>
      </c>
      <c r="S10" s="1" t="s">
        <v>16</v>
      </c>
      <c r="T10" s="3" t="str">
        <f t="shared" si="0"/>
        <v>Patrones de puntos – Descriptivo</v>
      </c>
      <c r="U10" s="1" t="s">
        <v>17</v>
      </c>
      <c r="V10" s="2" t="s">
        <v>77</v>
      </c>
      <c r="W10" s="1" t="s">
        <v>60</v>
      </c>
      <c r="X10" s="1" t="s">
        <v>79</v>
      </c>
      <c r="Y10" s="1" t="s">
        <v>20</v>
      </c>
      <c r="Z10" s="2" t="s">
        <v>119</v>
      </c>
      <c r="AA10" s="1" t="s">
        <v>120</v>
      </c>
      <c r="AB10" s="1" t="s">
        <v>25</v>
      </c>
      <c r="AC10" s="1" t="s">
        <v>23</v>
      </c>
      <c r="AD10" s="1" t="s">
        <v>22</v>
      </c>
      <c r="AE10" s="1" t="s">
        <v>23</v>
      </c>
      <c r="AF10" s="1" t="s">
        <v>22</v>
      </c>
      <c r="AG10" s="1"/>
      <c r="AH10" s="4" t="str">
        <f t="shared" si="1"/>
        <v>No aplica</v>
      </c>
      <c r="AI10" s="1" t="s">
        <v>25</v>
      </c>
      <c r="AJ10" s="2" t="s">
        <v>121</v>
      </c>
      <c r="AK10" s="2"/>
    </row>
    <row r="11" spans="1:37" ht="24.95" customHeight="1" x14ac:dyDescent="0.25">
      <c r="A11" s="1" t="s">
        <v>122</v>
      </c>
      <c r="B11" s="1">
        <v>75</v>
      </c>
      <c r="C11" s="1" t="s">
        <v>1</v>
      </c>
      <c r="D11" s="6" t="s">
        <v>123</v>
      </c>
      <c r="E11" s="1">
        <v>2023</v>
      </c>
      <c r="F11" s="6" t="s">
        <v>124</v>
      </c>
      <c r="G11" s="2" t="s">
        <v>125</v>
      </c>
      <c r="H11" s="1" t="s">
        <v>126</v>
      </c>
      <c r="I11" s="1" t="s">
        <v>100</v>
      </c>
      <c r="J11" s="1" t="s">
        <v>7</v>
      </c>
      <c r="K11" s="1" t="s">
        <v>34</v>
      </c>
      <c r="L11" s="1" t="s">
        <v>35</v>
      </c>
      <c r="M11" s="1" t="s">
        <v>10</v>
      </c>
      <c r="N11" s="1" t="s">
        <v>11</v>
      </c>
      <c r="O11" s="2" t="s">
        <v>127</v>
      </c>
      <c r="P11" s="1" t="s">
        <v>13</v>
      </c>
      <c r="Q11" s="1" t="s">
        <v>111</v>
      </c>
      <c r="R11" s="1" t="s">
        <v>15</v>
      </c>
      <c r="S11" s="1" t="s">
        <v>16</v>
      </c>
      <c r="T11" s="3" t="str">
        <f t="shared" si="0"/>
        <v>Patrones de puntos – Descriptivo</v>
      </c>
      <c r="U11" s="1" t="s">
        <v>17</v>
      </c>
      <c r="V11" s="2" t="s">
        <v>17</v>
      </c>
      <c r="W11" s="1" t="s">
        <v>60</v>
      </c>
      <c r="X11" s="1" t="s">
        <v>79</v>
      </c>
      <c r="Y11" s="1" t="s">
        <v>20</v>
      </c>
      <c r="Z11" s="2" t="s">
        <v>25</v>
      </c>
      <c r="AA11" s="1" t="s">
        <v>128</v>
      </c>
      <c r="AB11" s="1" t="s">
        <v>25</v>
      </c>
      <c r="AC11" s="1" t="s">
        <v>23</v>
      </c>
      <c r="AD11" s="1" t="s">
        <v>22</v>
      </c>
      <c r="AE11" s="1" t="s">
        <v>6</v>
      </c>
      <c r="AF11" s="1">
        <v>10</v>
      </c>
      <c r="AG11" s="1" t="s">
        <v>129</v>
      </c>
      <c r="AH11" s="4" t="str">
        <f t="shared" si="1"/>
        <v>Sin rango</v>
      </c>
      <c r="AI11" s="1" t="s">
        <v>25</v>
      </c>
      <c r="AJ11" s="2" t="s">
        <v>130</v>
      </c>
      <c r="AK11" s="2" t="s">
        <v>131</v>
      </c>
    </row>
    <row r="12" spans="1:37" ht="24.95" customHeight="1" x14ac:dyDescent="0.25">
      <c r="A12" s="1" t="s">
        <v>132</v>
      </c>
      <c r="B12" s="1">
        <v>76</v>
      </c>
      <c r="C12" s="1" t="s">
        <v>1</v>
      </c>
      <c r="D12" s="6" t="s">
        <v>133</v>
      </c>
      <c r="E12" s="1">
        <v>2021</v>
      </c>
      <c r="F12" s="6" t="s">
        <v>134</v>
      </c>
      <c r="G12" s="2" t="s">
        <v>135</v>
      </c>
      <c r="H12" s="1" t="s">
        <v>136</v>
      </c>
      <c r="I12" s="1" t="s">
        <v>137</v>
      </c>
      <c r="J12" s="1" t="s">
        <v>7</v>
      </c>
      <c r="K12" s="1" t="s">
        <v>138</v>
      </c>
      <c r="L12" s="1" t="s">
        <v>139</v>
      </c>
      <c r="M12" s="1" t="s">
        <v>140</v>
      </c>
      <c r="N12" s="1" t="s">
        <v>11</v>
      </c>
      <c r="O12" s="2" t="s">
        <v>141</v>
      </c>
      <c r="P12" s="1" t="s">
        <v>13</v>
      </c>
      <c r="Q12" s="1" t="s">
        <v>14</v>
      </c>
      <c r="R12" s="1" t="s">
        <v>15</v>
      </c>
      <c r="S12" s="1" t="s">
        <v>16</v>
      </c>
      <c r="T12" s="3" t="str">
        <f t="shared" si="0"/>
        <v>Patrones de puntos – Descriptivo</v>
      </c>
      <c r="U12" s="1" t="s">
        <v>17</v>
      </c>
      <c r="V12" s="2" t="s">
        <v>17</v>
      </c>
      <c r="W12" s="1" t="s">
        <v>18</v>
      </c>
      <c r="X12" s="1" t="s">
        <v>19</v>
      </c>
      <c r="Y12" s="1" t="s">
        <v>20</v>
      </c>
      <c r="Z12" s="2" t="s">
        <v>21</v>
      </c>
      <c r="AA12" s="1" t="s">
        <v>22</v>
      </c>
      <c r="AB12" s="1" t="s">
        <v>20</v>
      </c>
      <c r="AC12" s="1" t="s">
        <v>23</v>
      </c>
      <c r="AD12" s="1" t="s">
        <v>22</v>
      </c>
      <c r="AE12" s="1" t="s">
        <v>6</v>
      </c>
      <c r="AF12" s="1" t="s">
        <v>142</v>
      </c>
      <c r="AG12" s="1" t="s">
        <v>143</v>
      </c>
      <c r="AH12" s="4" t="str">
        <f t="shared" si="1"/>
        <v>NR</v>
      </c>
      <c r="AI12" s="1" t="s">
        <v>25</v>
      </c>
      <c r="AJ12" s="2" t="s">
        <v>144</v>
      </c>
      <c r="AK12" s="2" t="s">
        <v>145</v>
      </c>
    </row>
    <row r="13" spans="1:37" ht="24.95" customHeight="1" x14ac:dyDescent="0.25">
      <c r="A13" s="1" t="s">
        <v>146</v>
      </c>
      <c r="B13" s="1">
        <v>77</v>
      </c>
      <c r="C13" s="1" t="s">
        <v>1</v>
      </c>
      <c r="D13" s="6" t="s">
        <v>147</v>
      </c>
      <c r="E13" s="1">
        <v>2023</v>
      </c>
      <c r="F13" s="6" t="s">
        <v>148</v>
      </c>
      <c r="G13" s="2" t="s">
        <v>149</v>
      </c>
      <c r="H13" s="1" t="s">
        <v>150</v>
      </c>
      <c r="I13" s="1" t="s">
        <v>68</v>
      </c>
      <c r="J13" s="1" t="s">
        <v>7</v>
      </c>
      <c r="K13" s="1" t="s">
        <v>151</v>
      </c>
      <c r="L13" s="1" t="s">
        <v>152</v>
      </c>
      <c r="M13" s="1" t="s">
        <v>153</v>
      </c>
      <c r="N13" s="1" t="s">
        <v>11</v>
      </c>
      <c r="O13" s="2" t="s">
        <v>154</v>
      </c>
      <c r="P13" s="1" t="s">
        <v>13</v>
      </c>
      <c r="Q13" s="1" t="s">
        <v>111</v>
      </c>
      <c r="R13" s="1" t="s">
        <v>15</v>
      </c>
      <c r="S13" s="1" t="s">
        <v>16</v>
      </c>
      <c r="T13" s="3" t="str">
        <f t="shared" si="0"/>
        <v>Patrones de puntos – Descriptivo</v>
      </c>
      <c r="U13" s="1" t="s">
        <v>17</v>
      </c>
      <c r="V13" s="2" t="s">
        <v>17</v>
      </c>
      <c r="W13" s="1" t="s">
        <v>60</v>
      </c>
      <c r="X13" s="1" t="s">
        <v>19</v>
      </c>
      <c r="Y13" s="1" t="s">
        <v>20</v>
      </c>
      <c r="Z13" s="2" t="s">
        <v>21</v>
      </c>
      <c r="AA13" s="1" t="s">
        <v>22</v>
      </c>
      <c r="AB13" s="1" t="s">
        <v>20</v>
      </c>
      <c r="AC13" s="1" t="s">
        <v>23</v>
      </c>
      <c r="AD13" s="1" t="s">
        <v>22</v>
      </c>
      <c r="AE13" s="1" t="s">
        <v>23</v>
      </c>
      <c r="AF13" s="1" t="s">
        <v>22</v>
      </c>
      <c r="AG13" s="1"/>
      <c r="AH13" s="4" t="str">
        <f t="shared" si="1"/>
        <v>No aplica</v>
      </c>
      <c r="AI13" s="1" t="s">
        <v>25</v>
      </c>
      <c r="AJ13" s="2" t="s">
        <v>155</v>
      </c>
      <c r="AK13" s="2"/>
    </row>
    <row r="14" spans="1:37" ht="24.95" customHeight="1" x14ac:dyDescent="0.25">
      <c r="A14" s="1" t="s">
        <v>156</v>
      </c>
      <c r="B14" s="1">
        <v>78</v>
      </c>
      <c r="C14" s="1" t="s">
        <v>1</v>
      </c>
      <c r="D14" s="6" t="s">
        <v>157</v>
      </c>
      <c r="E14" s="1">
        <v>2022</v>
      </c>
      <c r="F14" s="6" t="s">
        <v>30</v>
      </c>
      <c r="G14" s="2" t="s">
        <v>158</v>
      </c>
      <c r="H14" s="1" t="s">
        <v>159</v>
      </c>
      <c r="I14" s="1" t="s">
        <v>33</v>
      </c>
      <c r="J14" s="1" t="s">
        <v>7</v>
      </c>
      <c r="K14" s="1" t="s">
        <v>160</v>
      </c>
      <c r="L14" s="1" t="s">
        <v>161</v>
      </c>
      <c r="M14" s="1" t="s">
        <v>140</v>
      </c>
      <c r="N14" s="1" t="s">
        <v>11</v>
      </c>
      <c r="O14" s="2" t="s">
        <v>162</v>
      </c>
      <c r="P14" s="1" t="s">
        <v>13</v>
      </c>
      <c r="Q14" s="1" t="s">
        <v>111</v>
      </c>
      <c r="R14" s="1" t="s">
        <v>15</v>
      </c>
      <c r="S14" s="1" t="s">
        <v>39</v>
      </c>
      <c r="T14" s="3" t="str">
        <f t="shared" si="0"/>
        <v>Patrones de puntos – Clasificación</v>
      </c>
      <c r="U14" s="1" t="s">
        <v>17</v>
      </c>
      <c r="V14" s="2" t="s">
        <v>17</v>
      </c>
      <c r="W14" s="1" t="s">
        <v>60</v>
      </c>
      <c r="X14" s="1" t="s">
        <v>25</v>
      </c>
      <c r="Y14" s="1" t="s">
        <v>20</v>
      </c>
      <c r="Z14" s="2" t="s">
        <v>21</v>
      </c>
      <c r="AA14" s="1" t="s">
        <v>22</v>
      </c>
      <c r="AB14" s="1" t="s">
        <v>20</v>
      </c>
      <c r="AC14" s="1" t="s">
        <v>25</v>
      </c>
      <c r="AD14" s="1" t="s">
        <v>163</v>
      </c>
      <c r="AE14" s="1" t="s">
        <v>25</v>
      </c>
      <c r="AF14" s="1" t="s">
        <v>25</v>
      </c>
      <c r="AG14" s="1"/>
      <c r="AH14" s="4" t="str">
        <f t="shared" si="1"/>
        <v>NR</v>
      </c>
      <c r="AI14" s="1" t="s">
        <v>25</v>
      </c>
      <c r="AJ14" s="2" t="s">
        <v>164</v>
      </c>
      <c r="AK14" s="2"/>
    </row>
    <row r="15" spans="1:37" ht="24.95" customHeight="1" x14ac:dyDescent="0.25">
      <c r="A15" s="1" t="s">
        <v>165</v>
      </c>
      <c r="B15" s="1">
        <v>79</v>
      </c>
      <c r="C15" s="1" t="s">
        <v>1</v>
      </c>
      <c r="D15" s="6" t="s">
        <v>166</v>
      </c>
      <c r="E15" s="1">
        <v>2023</v>
      </c>
      <c r="F15" s="6" t="s">
        <v>167</v>
      </c>
      <c r="G15" s="2" t="s">
        <v>168</v>
      </c>
      <c r="H15" s="1" t="s">
        <v>169</v>
      </c>
      <c r="I15" s="1" t="s">
        <v>170</v>
      </c>
      <c r="J15" s="1" t="s">
        <v>7</v>
      </c>
      <c r="K15" s="1" t="s">
        <v>171</v>
      </c>
      <c r="L15" s="1" t="s">
        <v>172</v>
      </c>
      <c r="M15" s="1" t="s">
        <v>140</v>
      </c>
      <c r="N15" s="1" t="s">
        <v>11</v>
      </c>
      <c r="O15" s="2" t="s">
        <v>173</v>
      </c>
      <c r="P15" s="1" t="s">
        <v>13</v>
      </c>
      <c r="Q15" s="1" t="s">
        <v>14</v>
      </c>
      <c r="R15" s="1" t="s">
        <v>15</v>
      </c>
      <c r="S15" s="1" t="s">
        <v>16</v>
      </c>
      <c r="T15" s="3" t="str">
        <f t="shared" si="0"/>
        <v>Patrones de puntos – Descriptivo</v>
      </c>
      <c r="U15" s="1" t="s">
        <v>17</v>
      </c>
      <c r="V15" s="2" t="s">
        <v>17</v>
      </c>
      <c r="W15" s="1" t="s">
        <v>18</v>
      </c>
      <c r="X15" s="1" t="s">
        <v>19</v>
      </c>
      <c r="Y15" s="1" t="s">
        <v>20</v>
      </c>
      <c r="Z15" s="2" t="s">
        <v>21</v>
      </c>
      <c r="AA15" s="1" t="s">
        <v>22</v>
      </c>
      <c r="AB15" s="1" t="s">
        <v>20</v>
      </c>
      <c r="AC15" s="1" t="s">
        <v>23</v>
      </c>
      <c r="AD15" s="1" t="s">
        <v>22</v>
      </c>
      <c r="AE15" s="1" t="s">
        <v>6</v>
      </c>
      <c r="AF15" s="1" t="s">
        <v>174</v>
      </c>
      <c r="AG15" s="1" t="s">
        <v>175</v>
      </c>
      <c r="AH15" s="4" t="str">
        <f t="shared" si="1"/>
        <v>NR</v>
      </c>
      <c r="AI15" s="1" t="s">
        <v>25</v>
      </c>
      <c r="AJ15" s="2" t="s">
        <v>176</v>
      </c>
      <c r="AK15" s="2" t="s">
        <v>177</v>
      </c>
    </row>
    <row r="16" spans="1:37" ht="24.95" customHeight="1" x14ac:dyDescent="0.25">
      <c r="A16" s="1" t="s">
        <v>178</v>
      </c>
      <c r="B16" s="1">
        <v>81</v>
      </c>
      <c r="C16" s="1" t="s">
        <v>1</v>
      </c>
      <c r="D16" s="6" t="s">
        <v>179</v>
      </c>
      <c r="E16" s="1">
        <v>2025</v>
      </c>
      <c r="F16" s="6" t="s">
        <v>180</v>
      </c>
      <c r="G16" s="2" t="s">
        <v>181</v>
      </c>
      <c r="H16" s="1" t="s">
        <v>182</v>
      </c>
      <c r="I16" s="1" t="s">
        <v>6</v>
      </c>
      <c r="J16" s="1" t="s">
        <v>7</v>
      </c>
      <c r="K16" s="1" t="s">
        <v>138</v>
      </c>
      <c r="L16" s="1" t="s">
        <v>139</v>
      </c>
      <c r="M16" s="1" t="s">
        <v>140</v>
      </c>
      <c r="N16" s="1" t="s">
        <v>11</v>
      </c>
      <c r="O16" s="2" t="s">
        <v>183</v>
      </c>
      <c r="P16" s="1" t="s">
        <v>13</v>
      </c>
      <c r="Q16" s="1" t="s">
        <v>14</v>
      </c>
      <c r="R16" s="1" t="s">
        <v>15</v>
      </c>
      <c r="S16" s="1" t="s">
        <v>16</v>
      </c>
      <c r="T16" s="3" t="str">
        <f t="shared" si="0"/>
        <v>Patrones de puntos – Descriptivo</v>
      </c>
      <c r="U16" s="1" t="s">
        <v>17</v>
      </c>
      <c r="V16" s="2" t="s">
        <v>17</v>
      </c>
      <c r="W16" s="1" t="s">
        <v>18</v>
      </c>
      <c r="X16" s="1" t="s">
        <v>79</v>
      </c>
      <c r="Y16" s="1" t="s">
        <v>20</v>
      </c>
      <c r="Z16" s="2" t="s">
        <v>21</v>
      </c>
      <c r="AA16" s="1" t="s">
        <v>22</v>
      </c>
      <c r="AB16" s="1" t="s">
        <v>20</v>
      </c>
      <c r="AC16" s="1" t="s">
        <v>23</v>
      </c>
      <c r="AD16" s="1" t="s">
        <v>22</v>
      </c>
      <c r="AE16" s="1" t="s">
        <v>23</v>
      </c>
      <c r="AF16" s="1" t="s">
        <v>22</v>
      </c>
      <c r="AG16" s="1"/>
      <c r="AH16" s="4" t="str">
        <f t="shared" si="1"/>
        <v>No aplica</v>
      </c>
      <c r="AI16" s="1" t="s">
        <v>25</v>
      </c>
      <c r="AJ16" s="2" t="s">
        <v>184</v>
      </c>
      <c r="AK16" s="2"/>
    </row>
    <row r="17" spans="1:37" ht="24.95" customHeight="1" x14ac:dyDescent="0.25">
      <c r="A17" s="1" t="s">
        <v>185</v>
      </c>
      <c r="B17" s="1">
        <v>82</v>
      </c>
      <c r="C17" s="1" t="s">
        <v>1</v>
      </c>
      <c r="D17" s="6" t="s">
        <v>186</v>
      </c>
      <c r="E17" s="1">
        <v>2024</v>
      </c>
      <c r="F17" s="6" t="s">
        <v>187</v>
      </c>
      <c r="G17" s="2" t="s">
        <v>188</v>
      </c>
      <c r="H17" s="1" t="s">
        <v>189</v>
      </c>
      <c r="I17" s="1" t="s">
        <v>6</v>
      </c>
      <c r="J17" s="1" t="s">
        <v>7</v>
      </c>
      <c r="K17" s="1" t="s">
        <v>25</v>
      </c>
      <c r="L17" s="1" t="s">
        <v>25</v>
      </c>
      <c r="M17" s="1" t="s">
        <v>25</v>
      </c>
      <c r="N17" s="1" t="s">
        <v>25</v>
      </c>
      <c r="O17" s="2" t="s">
        <v>190</v>
      </c>
      <c r="P17" s="1" t="s">
        <v>13</v>
      </c>
      <c r="Q17" s="1" t="s">
        <v>14</v>
      </c>
      <c r="R17" s="1" t="s">
        <v>15</v>
      </c>
      <c r="S17" s="1" t="s">
        <v>16</v>
      </c>
      <c r="T17" s="3" t="str">
        <f t="shared" si="0"/>
        <v>Patrones de puntos – Descriptivo</v>
      </c>
      <c r="U17" s="1" t="s">
        <v>6</v>
      </c>
      <c r="V17" s="2" t="s">
        <v>191</v>
      </c>
      <c r="W17" s="1" t="s">
        <v>18</v>
      </c>
      <c r="X17" s="1" t="s">
        <v>19</v>
      </c>
      <c r="Y17" s="1" t="s">
        <v>20</v>
      </c>
      <c r="Z17" s="2" t="s">
        <v>21</v>
      </c>
      <c r="AA17" s="1" t="s">
        <v>22</v>
      </c>
      <c r="AB17" s="1" t="s">
        <v>20</v>
      </c>
      <c r="AC17" s="1" t="s">
        <v>23</v>
      </c>
      <c r="AD17" s="1" t="s">
        <v>22</v>
      </c>
      <c r="AE17" s="1" t="s">
        <v>6</v>
      </c>
      <c r="AF17" s="1" t="s">
        <v>192</v>
      </c>
      <c r="AG17" s="1" t="s">
        <v>193</v>
      </c>
      <c r="AH17" s="4" t="str">
        <f t="shared" si="1"/>
        <v>NR</v>
      </c>
      <c r="AI17" s="1" t="s">
        <v>25</v>
      </c>
      <c r="AJ17" s="2" t="s">
        <v>194</v>
      </c>
      <c r="AK17" s="2" t="s">
        <v>195</v>
      </c>
    </row>
    <row r="18" spans="1:37" ht="24.95" customHeight="1" x14ac:dyDescent="0.25">
      <c r="A18" s="1" t="s">
        <v>196</v>
      </c>
      <c r="B18" s="1">
        <v>83</v>
      </c>
      <c r="C18" s="1" t="s">
        <v>1</v>
      </c>
      <c r="D18" s="6" t="s">
        <v>197</v>
      </c>
      <c r="E18" s="1">
        <v>2025</v>
      </c>
      <c r="F18" s="6" t="s">
        <v>198</v>
      </c>
      <c r="G18" s="2" t="s">
        <v>199</v>
      </c>
      <c r="H18" s="1" t="s">
        <v>200</v>
      </c>
      <c r="I18" s="1" t="s">
        <v>100</v>
      </c>
      <c r="J18" s="1" t="s">
        <v>7</v>
      </c>
      <c r="K18" s="1" t="s">
        <v>151</v>
      </c>
      <c r="L18" s="1" t="s">
        <v>152</v>
      </c>
      <c r="M18" s="1" t="s">
        <v>153</v>
      </c>
      <c r="N18" s="1" t="s">
        <v>11</v>
      </c>
      <c r="O18" s="2" t="s">
        <v>201</v>
      </c>
      <c r="P18" s="1" t="s">
        <v>73</v>
      </c>
      <c r="Q18" s="1" t="s">
        <v>74</v>
      </c>
      <c r="R18" s="1" t="s">
        <v>75</v>
      </c>
      <c r="S18" s="1" t="s">
        <v>76</v>
      </c>
      <c r="T18" s="3" t="str">
        <f t="shared" si="0"/>
        <v>Regresión espacial – Regresión</v>
      </c>
      <c r="U18" s="1" t="s">
        <v>6</v>
      </c>
      <c r="V18" s="2" t="s">
        <v>202</v>
      </c>
      <c r="W18" s="1" t="s">
        <v>203</v>
      </c>
      <c r="X18" s="1" t="s">
        <v>25</v>
      </c>
      <c r="Y18" s="1" t="s">
        <v>25</v>
      </c>
      <c r="Z18" s="2" t="s">
        <v>204</v>
      </c>
      <c r="AA18" s="1" t="s">
        <v>205</v>
      </c>
      <c r="AB18" s="1" t="s">
        <v>45</v>
      </c>
      <c r="AC18" s="1" t="s">
        <v>25</v>
      </c>
      <c r="AD18" s="1" t="s">
        <v>163</v>
      </c>
      <c r="AE18" s="1" t="s">
        <v>25</v>
      </c>
      <c r="AF18" s="1" t="s">
        <v>25</v>
      </c>
      <c r="AG18" s="1"/>
      <c r="AH18" s="4" t="str">
        <f t="shared" si="1"/>
        <v>NR</v>
      </c>
      <c r="AI18" s="1" t="s">
        <v>25</v>
      </c>
      <c r="AJ18" s="2" t="s">
        <v>206</v>
      </c>
      <c r="AK18" s="2"/>
    </row>
    <row r="19" spans="1:37" ht="24.95" customHeight="1" x14ac:dyDescent="0.25">
      <c r="A19" s="1" t="s">
        <v>207</v>
      </c>
      <c r="B19" s="1">
        <v>84</v>
      </c>
      <c r="C19" s="1" t="s">
        <v>1</v>
      </c>
      <c r="D19" s="6" t="s">
        <v>208</v>
      </c>
      <c r="E19" s="1">
        <v>2025</v>
      </c>
      <c r="F19" s="6" t="s">
        <v>97</v>
      </c>
      <c r="G19" s="2" t="s">
        <v>209</v>
      </c>
      <c r="H19" s="1" t="s">
        <v>210</v>
      </c>
      <c r="I19" s="1" t="s">
        <v>100</v>
      </c>
      <c r="J19" s="1" t="s">
        <v>7</v>
      </c>
      <c r="K19" s="1" t="s">
        <v>34</v>
      </c>
      <c r="L19" s="1" t="s">
        <v>35</v>
      </c>
      <c r="M19" s="1" t="s">
        <v>10</v>
      </c>
      <c r="N19" s="1" t="s">
        <v>11</v>
      </c>
      <c r="O19" s="2" t="s">
        <v>211</v>
      </c>
      <c r="P19" s="1" t="s">
        <v>13</v>
      </c>
      <c r="Q19" s="1" t="s">
        <v>111</v>
      </c>
      <c r="R19" s="1" t="s">
        <v>15</v>
      </c>
      <c r="S19" s="1" t="s">
        <v>16</v>
      </c>
      <c r="T19" s="3" t="str">
        <f t="shared" si="0"/>
        <v>Patrones de puntos – Descriptivo</v>
      </c>
      <c r="U19" s="1" t="s">
        <v>17</v>
      </c>
      <c r="V19" s="2" t="s">
        <v>77</v>
      </c>
      <c r="W19" s="1" t="s">
        <v>60</v>
      </c>
      <c r="X19" s="1" t="s">
        <v>79</v>
      </c>
      <c r="Y19" s="1" t="s">
        <v>20</v>
      </c>
      <c r="Z19" s="2" t="s">
        <v>81</v>
      </c>
      <c r="AA19" s="1" t="s">
        <v>212</v>
      </c>
      <c r="AB19" s="1" t="s">
        <v>25</v>
      </c>
      <c r="AC19" s="1" t="s">
        <v>23</v>
      </c>
      <c r="AD19" s="1" t="s">
        <v>22</v>
      </c>
      <c r="AE19" s="1" t="s">
        <v>6</v>
      </c>
      <c r="AF19" s="1" t="s">
        <v>213</v>
      </c>
      <c r="AG19" s="1" t="s">
        <v>214</v>
      </c>
      <c r="AH19" s="4" t="str">
        <f t="shared" si="1"/>
        <v>NR</v>
      </c>
      <c r="AI19" s="1" t="s">
        <v>25</v>
      </c>
      <c r="AJ19" s="2" t="s">
        <v>215</v>
      </c>
      <c r="AK19" s="2" t="s">
        <v>216</v>
      </c>
    </row>
    <row r="20" spans="1:37" ht="24.95" customHeight="1" x14ac:dyDescent="0.25">
      <c r="A20" s="1" t="s">
        <v>217</v>
      </c>
      <c r="B20" s="1">
        <v>86</v>
      </c>
      <c r="C20" s="1" t="s">
        <v>1</v>
      </c>
      <c r="D20" s="6" t="s">
        <v>218</v>
      </c>
      <c r="E20" s="1">
        <v>2023</v>
      </c>
      <c r="F20" s="6" t="s">
        <v>219</v>
      </c>
      <c r="G20" s="2" t="s">
        <v>220</v>
      </c>
      <c r="H20" s="1" t="s">
        <v>221</v>
      </c>
      <c r="I20" s="1" t="s">
        <v>90</v>
      </c>
      <c r="J20" s="1" t="s">
        <v>7</v>
      </c>
      <c r="K20" s="1" t="s">
        <v>55</v>
      </c>
      <c r="L20" s="1" t="s">
        <v>222</v>
      </c>
      <c r="M20" s="1" t="s">
        <v>57</v>
      </c>
      <c r="N20" s="1" t="s">
        <v>11</v>
      </c>
      <c r="O20" s="2" t="s">
        <v>223</v>
      </c>
      <c r="P20" s="1" t="s">
        <v>13</v>
      </c>
      <c r="Q20" s="1" t="s">
        <v>111</v>
      </c>
      <c r="R20" s="1" t="s">
        <v>15</v>
      </c>
      <c r="S20" s="1" t="s">
        <v>16</v>
      </c>
      <c r="T20" s="3" t="str">
        <f t="shared" si="0"/>
        <v>Patrones de puntos – Descriptivo</v>
      </c>
      <c r="U20" s="1" t="s">
        <v>17</v>
      </c>
      <c r="V20" s="2" t="s">
        <v>17</v>
      </c>
      <c r="W20" s="1" t="s">
        <v>60</v>
      </c>
      <c r="X20" s="1" t="s">
        <v>42</v>
      </c>
      <c r="Y20" s="1" t="s">
        <v>20</v>
      </c>
      <c r="Z20" s="2" t="s">
        <v>21</v>
      </c>
      <c r="AA20" s="1" t="s">
        <v>22</v>
      </c>
      <c r="AB20" s="1" t="s">
        <v>20</v>
      </c>
      <c r="AC20" s="1" t="s">
        <v>224</v>
      </c>
      <c r="AD20" s="1" t="s">
        <v>22</v>
      </c>
      <c r="AE20" s="1" t="s">
        <v>23</v>
      </c>
      <c r="AF20" s="1" t="s">
        <v>22</v>
      </c>
      <c r="AG20" s="1"/>
      <c r="AH20" s="4" t="str">
        <f t="shared" si="1"/>
        <v>No aplica</v>
      </c>
      <c r="AI20" s="1" t="s">
        <v>25</v>
      </c>
      <c r="AJ20" s="2" t="s">
        <v>225</v>
      </c>
      <c r="AK20" s="2" t="s">
        <v>226</v>
      </c>
    </row>
    <row r="21" spans="1:37" ht="24.95" customHeight="1" x14ac:dyDescent="0.25">
      <c r="A21" s="1" t="s">
        <v>227</v>
      </c>
      <c r="B21" s="1">
        <v>87</v>
      </c>
      <c r="C21" s="1" t="s">
        <v>1</v>
      </c>
      <c r="D21" s="6" t="s">
        <v>228</v>
      </c>
      <c r="E21" s="1">
        <v>2022</v>
      </c>
      <c r="F21" s="6" t="s">
        <v>229</v>
      </c>
      <c r="G21" s="2" t="s">
        <v>230</v>
      </c>
      <c r="H21" s="1" t="s">
        <v>231</v>
      </c>
      <c r="I21" s="1" t="s">
        <v>68</v>
      </c>
      <c r="J21" s="1" t="s">
        <v>7</v>
      </c>
      <c r="K21" s="1" t="s">
        <v>232</v>
      </c>
      <c r="L21" s="1" t="s">
        <v>233</v>
      </c>
      <c r="M21" s="1" t="s">
        <v>71</v>
      </c>
      <c r="N21" s="1" t="s">
        <v>11</v>
      </c>
      <c r="O21" s="2" t="s">
        <v>234</v>
      </c>
      <c r="P21" s="1" t="s">
        <v>13</v>
      </c>
      <c r="Q21" s="1" t="s">
        <v>14</v>
      </c>
      <c r="R21" s="1" t="s">
        <v>15</v>
      </c>
      <c r="S21" s="1" t="s">
        <v>16</v>
      </c>
      <c r="T21" s="3" t="str">
        <f t="shared" si="0"/>
        <v>Patrones de puntos – Descriptivo</v>
      </c>
      <c r="U21" s="1" t="s">
        <v>6</v>
      </c>
      <c r="V21" s="2" t="s">
        <v>235</v>
      </c>
      <c r="W21" s="1" t="s">
        <v>18</v>
      </c>
      <c r="X21" s="1" t="s">
        <v>79</v>
      </c>
      <c r="Y21" s="1" t="s">
        <v>20</v>
      </c>
      <c r="Z21" s="2" t="s">
        <v>21</v>
      </c>
      <c r="AA21" s="1" t="s">
        <v>22</v>
      </c>
      <c r="AB21" s="1" t="s">
        <v>20</v>
      </c>
      <c r="AC21" s="1" t="s">
        <v>23</v>
      </c>
      <c r="AD21" s="1" t="s">
        <v>22</v>
      </c>
      <c r="AE21" s="1" t="s">
        <v>6</v>
      </c>
      <c r="AF21" s="1" t="s">
        <v>236</v>
      </c>
      <c r="AG21" s="1" t="s">
        <v>237</v>
      </c>
      <c r="AH21" s="4" t="str">
        <f t="shared" si="1"/>
        <v>NR</v>
      </c>
      <c r="AI21" s="1" t="s">
        <v>25</v>
      </c>
      <c r="AJ21" s="2" t="s">
        <v>238</v>
      </c>
      <c r="AK21" s="2" t="s">
        <v>239</v>
      </c>
    </row>
    <row r="22" spans="1:37" ht="24.95" customHeight="1" x14ac:dyDescent="0.25">
      <c r="A22" s="1" t="s">
        <v>240</v>
      </c>
      <c r="B22" s="1">
        <v>88</v>
      </c>
      <c r="C22" s="1" t="s">
        <v>1</v>
      </c>
      <c r="D22" s="6" t="s">
        <v>241</v>
      </c>
      <c r="E22" s="1">
        <v>2024</v>
      </c>
      <c r="F22" s="6" t="s">
        <v>167</v>
      </c>
      <c r="G22" s="2" t="s">
        <v>242</v>
      </c>
      <c r="H22" s="1" t="s">
        <v>243</v>
      </c>
      <c r="I22" s="1" t="s">
        <v>170</v>
      </c>
      <c r="J22" s="1" t="s">
        <v>7</v>
      </c>
      <c r="K22" s="1" t="s">
        <v>34</v>
      </c>
      <c r="L22" s="1" t="s">
        <v>35</v>
      </c>
      <c r="M22" s="1" t="s">
        <v>10</v>
      </c>
      <c r="N22" s="1" t="s">
        <v>11</v>
      </c>
      <c r="O22" s="2" t="s">
        <v>244</v>
      </c>
      <c r="P22" s="1" t="s">
        <v>13</v>
      </c>
      <c r="Q22" s="1" t="s">
        <v>102</v>
      </c>
      <c r="R22" s="1" t="s">
        <v>15</v>
      </c>
      <c r="S22" s="1" t="s">
        <v>16</v>
      </c>
      <c r="T22" s="3" t="str">
        <f t="shared" si="0"/>
        <v>Patrones de puntos – Descriptivo</v>
      </c>
      <c r="U22" s="1" t="s">
        <v>17</v>
      </c>
      <c r="V22" s="2" t="s">
        <v>17</v>
      </c>
      <c r="W22" s="1" t="s">
        <v>60</v>
      </c>
      <c r="X22" s="1" t="s">
        <v>19</v>
      </c>
      <c r="Y22" s="1" t="s">
        <v>20</v>
      </c>
      <c r="Z22" s="2" t="s">
        <v>21</v>
      </c>
      <c r="AA22" s="1" t="s">
        <v>22</v>
      </c>
      <c r="AB22" s="1" t="s">
        <v>20</v>
      </c>
      <c r="AC22" s="1" t="s">
        <v>23</v>
      </c>
      <c r="AD22" s="1" t="s">
        <v>22</v>
      </c>
      <c r="AE22" s="1" t="s">
        <v>23</v>
      </c>
      <c r="AF22" s="1" t="s">
        <v>22</v>
      </c>
      <c r="AG22" s="1"/>
      <c r="AH22" s="4" t="str">
        <f t="shared" si="1"/>
        <v>No aplica</v>
      </c>
      <c r="AI22" s="1" t="s">
        <v>25</v>
      </c>
      <c r="AJ22" s="2" t="s">
        <v>245</v>
      </c>
      <c r="AK22" s="2"/>
    </row>
    <row r="23" spans="1:37" ht="24.95" customHeight="1" x14ac:dyDescent="0.25">
      <c r="A23" s="1" t="s">
        <v>246</v>
      </c>
      <c r="B23" s="1">
        <v>89</v>
      </c>
      <c r="C23" s="1" t="s">
        <v>1</v>
      </c>
      <c r="D23" s="6" t="s">
        <v>247</v>
      </c>
      <c r="E23" s="1">
        <v>2021</v>
      </c>
      <c r="F23" s="6" t="s">
        <v>51</v>
      </c>
      <c r="G23" s="2" t="s">
        <v>248</v>
      </c>
      <c r="H23" s="1" t="s">
        <v>249</v>
      </c>
      <c r="I23" s="1" t="s">
        <v>54</v>
      </c>
      <c r="J23" s="1" t="s">
        <v>7</v>
      </c>
      <c r="K23" s="1" t="s">
        <v>34</v>
      </c>
      <c r="L23" s="1" t="s">
        <v>35</v>
      </c>
      <c r="M23" s="1" t="s">
        <v>10</v>
      </c>
      <c r="N23" s="1" t="s">
        <v>11</v>
      </c>
      <c r="O23" s="2" t="s">
        <v>250</v>
      </c>
      <c r="P23" s="1" t="s">
        <v>13</v>
      </c>
      <c r="Q23" s="1" t="s">
        <v>111</v>
      </c>
      <c r="R23" s="1" t="s">
        <v>15</v>
      </c>
      <c r="S23" s="1" t="s">
        <v>16</v>
      </c>
      <c r="T23" s="3" t="str">
        <f t="shared" si="0"/>
        <v>Patrones de puntos – Descriptivo</v>
      </c>
      <c r="U23" s="1" t="s">
        <v>17</v>
      </c>
      <c r="V23" s="2" t="s">
        <v>17</v>
      </c>
      <c r="W23" s="1" t="s">
        <v>60</v>
      </c>
      <c r="X23" s="1" t="s">
        <v>25</v>
      </c>
      <c r="Y23" s="1" t="s">
        <v>20</v>
      </c>
      <c r="Z23" s="2" t="s">
        <v>21</v>
      </c>
      <c r="AA23" s="1" t="s">
        <v>22</v>
      </c>
      <c r="AB23" s="1" t="s">
        <v>20</v>
      </c>
      <c r="AC23" s="1" t="s">
        <v>23</v>
      </c>
      <c r="AD23" s="1" t="s">
        <v>22</v>
      </c>
      <c r="AE23" s="1" t="s">
        <v>23</v>
      </c>
      <c r="AF23" s="1" t="s">
        <v>22</v>
      </c>
      <c r="AG23" s="1"/>
      <c r="AH23" s="4" t="str">
        <f t="shared" si="1"/>
        <v>No aplica</v>
      </c>
      <c r="AI23" s="1" t="s">
        <v>25</v>
      </c>
      <c r="AJ23" s="2" t="s">
        <v>251</v>
      </c>
      <c r="AK23" s="2"/>
    </row>
    <row r="24" spans="1:37" ht="24.95" customHeight="1" x14ac:dyDescent="0.25">
      <c r="A24" s="1" t="s">
        <v>252</v>
      </c>
      <c r="B24" s="1">
        <v>90</v>
      </c>
      <c r="C24" s="1" t="s">
        <v>1</v>
      </c>
      <c r="D24" s="6" t="s">
        <v>253</v>
      </c>
      <c r="E24" s="1">
        <v>2022</v>
      </c>
      <c r="F24" s="6" t="s">
        <v>254</v>
      </c>
      <c r="G24" s="2" t="s">
        <v>255</v>
      </c>
      <c r="H24" s="1" t="s">
        <v>256</v>
      </c>
      <c r="I24" s="1" t="s">
        <v>68</v>
      </c>
      <c r="J24" s="1" t="s">
        <v>7</v>
      </c>
      <c r="K24" s="1" t="s">
        <v>34</v>
      </c>
      <c r="L24" s="1" t="s">
        <v>35</v>
      </c>
      <c r="M24" s="1" t="s">
        <v>10</v>
      </c>
      <c r="N24" s="1" t="s">
        <v>11</v>
      </c>
      <c r="O24" s="2" t="s">
        <v>257</v>
      </c>
      <c r="P24" s="1" t="s">
        <v>13</v>
      </c>
      <c r="Q24" s="1" t="s">
        <v>111</v>
      </c>
      <c r="R24" s="1" t="s">
        <v>15</v>
      </c>
      <c r="S24" s="1" t="s">
        <v>16</v>
      </c>
      <c r="T24" s="3" t="str">
        <f t="shared" si="0"/>
        <v>Patrones de puntos – Descriptivo</v>
      </c>
      <c r="U24" s="1" t="s">
        <v>17</v>
      </c>
      <c r="V24" s="2" t="s">
        <v>17</v>
      </c>
      <c r="W24" s="1" t="s">
        <v>60</v>
      </c>
      <c r="X24" s="1" t="s">
        <v>79</v>
      </c>
      <c r="Y24" s="1" t="s">
        <v>80</v>
      </c>
      <c r="Z24" s="2" t="s">
        <v>25</v>
      </c>
      <c r="AA24" s="1" t="s">
        <v>258</v>
      </c>
      <c r="AB24" s="1" t="s">
        <v>25</v>
      </c>
      <c r="AC24" s="1" t="s">
        <v>23</v>
      </c>
      <c r="AD24" s="1" t="s">
        <v>22</v>
      </c>
      <c r="AE24" s="1" t="s">
        <v>23</v>
      </c>
      <c r="AF24" s="1" t="s">
        <v>22</v>
      </c>
      <c r="AG24" s="1"/>
      <c r="AH24" s="4" t="str">
        <f t="shared" si="1"/>
        <v>No aplica</v>
      </c>
      <c r="AI24" s="1" t="s">
        <v>25</v>
      </c>
      <c r="AJ24" s="2" t="s">
        <v>259</v>
      </c>
      <c r="AK24" s="2"/>
    </row>
    <row r="25" spans="1:37" ht="24.95" customHeight="1" x14ac:dyDescent="0.25">
      <c r="A25" s="1" t="s">
        <v>260</v>
      </c>
      <c r="B25" s="1">
        <v>92</v>
      </c>
      <c r="C25" s="1" t="s">
        <v>1</v>
      </c>
      <c r="D25" s="6" t="s">
        <v>261</v>
      </c>
      <c r="E25" s="1">
        <v>2023</v>
      </c>
      <c r="F25" s="6" t="s">
        <v>97</v>
      </c>
      <c r="G25" s="2" t="s">
        <v>262</v>
      </c>
      <c r="H25" s="1" t="s">
        <v>263</v>
      </c>
      <c r="I25" s="1" t="s">
        <v>100</v>
      </c>
      <c r="J25" s="1" t="s">
        <v>7</v>
      </c>
      <c r="K25" s="1" t="s">
        <v>34</v>
      </c>
      <c r="L25" s="1" t="s">
        <v>35</v>
      </c>
      <c r="M25" s="1" t="s">
        <v>10</v>
      </c>
      <c r="N25" s="1" t="s">
        <v>11</v>
      </c>
      <c r="O25" s="2" t="s">
        <v>264</v>
      </c>
      <c r="P25" s="1" t="s">
        <v>75</v>
      </c>
      <c r="Q25" s="1" t="s">
        <v>78</v>
      </c>
      <c r="R25" s="1" t="s">
        <v>15</v>
      </c>
      <c r="S25" s="1" t="s">
        <v>16</v>
      </c>
      <c r="T25" s="3" t="str">
        <f t="shared" si="0"/>
        <v>Autocorrelación espacial – Descriptivo</v>
      </c>
      <c r="U25" s="1" t="s">
        <v>17</v>
      </c>
      <c r="V25" s="2" t="s">
        <v>17</v>
      </c>
      <c r="W25" s="1" t="s">
        <v>203</v>
      </c>
      <c r="X25" s="1" t="s">
        <v>42</v>
      </c>
      <c r="Y25" s="1" t="s">
        <v>80</v>
      </c>
      <c r="Z25" s="2" t="s">
        <v>21</v>
      </c>
      <c r="AA25" s="1" t="s">
        <v>22</v>
      </c>
      <c r="AB25" s="1" t="s">
        <v>20</v>
      </c>
      <c r="AC25" s="1" t="s">
        <v>23</v>
      </c>
      <c r="AD25" s="1" t="s">
        <v>22</v>
      </c>
      <c r="AE25" s="1" t="s">
        <v>6</v>
      </c>
      <c r="AF25" s="1">
        <v>0.16439999999999999</v>
      </c>
      <c r="AG25" s="1" t="s">
        <v>265</v>
      </c>
      <c r="AH25" s="4" t="str">
        <f t="shared" si="1"/>
        <v>Sin rango</v>
      </c>
      <c r="AI25" s="1" t="s">
        <v>25</v>
      </c>
      <c r="AJ25" s="2" t="s">
        <v>266</v>
      </c>
      <c r="AK25" s="2"/>
    </row>
    <row r="26" spans="1:37" ht="24.95" customHeight="1" x14ac:dyDescent="0.25">
      <c r="A26" s="1" t="s">
        <v>267</v>
      </c>
      <c r="B26" s="1">
        <v>93</v>
      </c>
      <c r="C26" s="1" t="s">
        <v>1</v>
      </c>
      <c r="D26" s="6" t="s">
        <v>268</v>
      </c>
      <c r="E26" s="1">
        <v>2025</v>
      </c>
      <c r="F26" s="6" t="s">
        <v>124</v>
      </c>
      <c r="G26" s="2" t="s">
        <v>269</v>
      </c>
      <c r="H26" s="1" t="s">
        <v>270</v>
      </c>
      <c r="I26" s="1" t="s">
        <v>100</v>
      </c>
      <c r="J26" s="1" t="s">
        <v>7</v>
      </c>
      <c r="K26" s="1" t="s">
        <v>34</v>
      </c>
      <c r="L26" s="1" t="s">
        <v>35</v>
      </c>
      <c r="M26" s="1" t="s">
        <v>10</v>
      </c>
      <c r="N26" s="1" t="s">
        <v>11</v>
      </c>
      <c r="O26" s="2" t="s">
        <v>271</v>
      </c>
      <c r="P26" s="1" t="s">
        <v>13</v>
      </c>
      <c r="Q26" s="1" t="s">
        <v>111</v>
      </c>
      <c r="R26" s="1" t="s">
        <v>15</v>
      </c>
      <c r="S26" s="1" t="s">
        <v>16</v>
      </c>
      <c r="T26" s="3" t="str">
        <f t="shared" si="0"/>
        <v>Patrones de puntos – Descriptivo</v>
      </c>
      <c r="U26" s="1" t="s">
        <v>17</v>
      </c>
      <c r="V26" s="2" t="s">
        <v>77</v>
      </c>
      <c r="W26" s="1" t="s">
        <v>60</v>
      </c>
      <c r="X26" s="1" t="s">
        <v>19</v>
      </c>
      <c r="Y26" s="1" t="s">
        <v>20</v>
      </c>
      <c r="Z26" s="2" t="s">
        <v>272</v>
      </c>
      <c r="AA26" s="1" t="s">
        <v>273</v>
      </c>
      <c r="AB26" s="1" t="s">
        <v>274</v>
      </c>
      <c r="AC26" s="1" t="s">
        <v>23</v>
      </c>
      <c r="AD26" s="1" t="s">
        <v>22</v>
      </c>
      <c r="AE26" s="1" t="s">
        <v>23</v>
      </c>
      <c r="AF26" s="1" t="s">
        <v>22</v>
      </c>
      <c r="AG26" s="1"/>
      <c r="AH26" s="4" t="str">
        <f t="shared" si="1"/>
        <v>No aplica</v>
      </c>
      <c r="AI26" s="1" t="s">
        <v>25</v>
      </c>
      <c r="AJ26" s="2" t="s">
        <v>275</v>
      </c>
      <c r="AK26" s="2"/>
    </row>
    <row r="27" spans="1:37" ht="24.95" customHeight="1" x14ac:dyDescent="0.25">
      <c r="A27" s="1" t="s">
        <v>276</v>
      </c>
      <c r="B27" s="1">
        <v>31</v>
      </c>
      <c r="C27" s="1" t="s">
        <v>277</v>
      </c>
      <c r="D27" s="6" t="s">
        <v>278</v>
      </c>
      <c r="E27" s="1">
        <v>2023</v>
      </c>
      <c r="F27" s="6" t="s">
        <v>279</v>
      </c>
      <c r="G27" s="2" t="s">
        <v>280</v>
      </c>
      <c r="H27" s="1" t="s">
        <v>281</v>
      </c>
      <c r="I27" s="1" t="s">
        <v>33</v>
      </c>
      <c r="J27" s="1" t="s">
        <v>282</v>
      </c>
      <c r="K27" s="1" t="s">
        <v>283</v>
      </c>
      <c r="L27" s="1" t="s">
        <v>284</v>
      </c>
      <c r="M27" s="1" t="s">
        <v>285</v>
      </c>
      <c r="N27" s="1" t="s">
        <v>11</v>
      </c>
      <c r="O27" s="2" t="s">
        <v>284</v>
      </c>
      <c r="P27" s="1" t="s">
        <v>75</v>
      </c>
      <c r="Q27" s="1" t="s">
        <v>286</v>
      </c>
      <c r="R27" s="1" t="s">
        <v>15</v>
      </c>
      <c r="S27" s="1" t="s">
        <v>16</v>
      </c>
      <c r="T27" s="3" t="str">
        <f t="shared" si="0"/>
        <v>Autocorrelación espacial – Descriptivo</v>
      </c>
      <c r="U27" s="1" t="s">
        <v>287</v>
      </c>
      <c r="V27" s="2" t="s">
        <v>288</v>
      </c>
      <c r="W27" s="1" t="s">
        <v>203</v>
      </c>
      <c r="X27" s="1" t="s">
        <v>79</v>
      </c>
      <c r="Y27" s="1" t="s">
        <v>25</v>
      </c>
      <c r="Z27" s="2" t="s">
        <v>21</v>
      </c>
      <c r="AA27" s="1" t="s">
        <v>22</v>
      </c>
      <c r="AB27" s="1" t="s">
        <v>20</v>
      </c>
      <c r="AC27" s="1" t="s">
        <v>23</v>
      </c>
      <c r="AD27" s="1" t="s">
        <v>22</v>
      </c>
      <c r="AE27" s="1" t="s">
        <v>23</v>
      </c>
      <c r="AF27" s="1" t="s">
        <v>22</v>
      </c>
      <c r="AG27" s="1"/>
      <c r="AH27" s="4" t="str">
        <f t="shared" si="1"/>
        <v>No aplica</v>
      </c>
      <c r="AI27" s="1" t="s">
        <v>25</v>
      </c>
      <c r="AJ27" s="2" t="s">
        <v>289</v>
      </c>
      <c r="AK27" s="2"/>
    </row>
    <row r="28" spans="1:37" ht="24.95" customHeight="1" x14ac:dyDescent="0.25">
      <c r="A28" s="1" t="s">
        <v>290</v>
      </c>
      <c r="B28" s="1">
        <v>32</v>
      </c>
      <c r="C28" s="1" t="s">
        <v>277</v>
      </c>
      <c r="D28" s="6" t="s">
        <v>291</v>
      </c>
      <c r="E28" s="1">
        <v>2021</v>
      </c>
      <c r="F28" s="6" t="s">
        <v>292</v>
      </c>
      <c r="G28" s="2" t="s">
        <v>293</v>
      </c>
      <c r="H28" s="1" t="s">
        <v>294</v>
      </c>
      <c r="I28" s="1" t="s">
        <v>33</v>
      </c>
      <c r="J28" s="1" t="s">
        <v>282</v>
      </c>
      <c r="K28" s="1" t="s">
        <v>138</v>
      </c>
      <c r="L28" s="1" t="s">
        <v>139</v>
      </c>
      <c r="M28" s="1" t="s">
        <v>140</v>
      </c>
      <c r="N28" s="1" t="s">
        <v>11</v>
      </c>
      <c r="O28" s="2" t="s">
        <v>139</v>
      </c>
      <c r="P28" s="1" t="s">
        <v>73</v>
      </c>
      <c r="Q28" s="1" t="s">
        <v>295</v>
      </c>
      <c r="R28" s="1" t="s">
        <v>75</v>
      </c>
      <c r="S28" s="1" t="s">
        <v>76</v>
      </c>
      <c r="T28" s="3" t="str">
        <f t="shared" si="0"/>
        <v>Regresión espacial – Regresión</v>
      </c>
      <c r="U28" s="1" t="s">
        <v>25</v>
      </c>
      <c r="V28" s="2" t="s">
        <v>25</v>
      </c>
      <c r="W28" s="1" t="s">
        <v>203</v>
      </c>
      <c r="X28" s="1" t="s">
        <v>25</v>
      </c>
      <c r="Y28" s="1" t="s">
        <v>25</v>
      </c>
      <c r="Z28" s="2" t="s">
        <v>296</v>
      </c>
      <c r="AA28" s="1" t="s">
        <v>25</v>
      </c>
      <c r="AB28" s="1" t="s">
        <v>20</v>
      </c>
      <c r="AC28" s="1" t="s">
        <v>25</v>
      </c>
      <c r="AD28" s="1" t="s">
        <v>25</v>
      </c>
      <c r="AE28" s="1" t="s">
        <v>25</v>
      </c>
      <c r="AF28" s="1" t="s">
        <v>25</v>
      </c>
      <c r="AG28" s="1"/>
      <c r="AH28" s="4" t="str">
        <f t="shared" si="1"/>
        <v>NR</v>
      </c>
      <c r="AI28" s="1" t="s">
        <v>25</v>
      </c>
      <c r="AJ28" s="2" t="s">
        <v>297</v>
      </c>
      <c r="AK28" s="2"/>
    </row>
    <row r="29" spans="1:37" ht="24.95" customHeight="1" x14ac:dyDescent="0.25">
      <c r="A29" s="1" t="s">
        <v>298</v>
      </c>
      <c r="B29" s="1">
        <v>33</v>
      </c>
      <c r="C29" s="1" t="s">
        <v>277</v>
      </c>
      <c r="D29" s="6" t="s">
        <v>299</v>
      </c>
      <c r="E29" s="1">
        <v>2023</v>
      </c>
      <c r="F29" s="6" t="s">
        <v>300</v>
      </c>
      <c r="G29" s="2" t="s">
        <v>301</v>
      </c>
      <c r="H29" s="1" t="s">
        <v>302</v>
      </c>
      <c r="I29" s="1" t="s">
        <v>33</v>
      </c>
      <c r="J29" s="1" t="s">
        <v>282</v>
      </c>
      <c r="K29" s="1" t="s">
        <v>138</v>
      </c>
      <c r="L29" s="1" t="s">
        <v>139</v>
      </c>
      <c r="M29" s="1" t="s">
        <v>140</v>
      </c>
      <c r="N29" s="1" t="s">
        <v>11</v>
      </c>
      <c r="O29" s="2" t="s">
        <v>139</v>
      </c>
      <c r="P29" s="1" t="s">
        <v>6</v>
      </c>
      <c r="Q29" s="1" t="s">
        <v>303</v>
      </c>
      <c r="R29" s="1" t="s">
        <v>15</v>
      </c>
      <c r="S29" s="1" t="s">
        <v>76</v>
      </c>
      <c r="T29" s="3" t="str">
        <f t="shared" si="0"/>
        <v>Otra – Regresión</v>
      </c>
      <c r="U29" s="1" t="s">
        <v>25</v>
      </c>
      <c r="V29" s="2" t="s">
        <v>25</v>
      </c>
      <c r="W29" s="1" t="s">
        <v>41</v>
      </c>
      <c r="X29" s="1" t="s">
        <v>42</v>
      </c>
      <c r="Y29" s="1" t="s">
        <v>20</v>
      </c>
      <c r="Z29" s="2" t="s">
        <v>296</v>
      </c>
      <c r="AA29" s="1" t="s">
        <v>25</v>
      </c>
      <c r="AB29" s="1" t="s">
        <v>20</v>
      </c>
      <c r="AC29" s="1" t="s">
        <v>25</v>
      </c>
      <c r="AD29" s="1" t="s">
        <v>25</v>
      </c>
      <c r="AE29" s="1" t="s">
        <v>25</v>
      </c>
      <c r="AF29" s="1" t="s">
        <v>25</v>
      </c>
      <c r="AG29" s="1"/>
      <c r="AH29" s="4" t="str">
        <f t="shared" si="1"/>
        <v>NR</v>
      </c>
      <c r="AI29" s="1" t="s">
        <v>25</v>
      </c>
      <c r="AJ29" s="2" t="s">
        <v>304</v>
      </c>
      <c r="AK29" s="2"/>
    </row>
    <row r="30" spans="1:37" ht="24.95" customHeight="1" x14ac:dyDescent="0.25">
      <c r="A30" s="1" t="s">
        <v>305</v>
      </c>
      <c r="B30" s="1">
        <v>34</v>
      </c>
      <c r="C30" s="1" t="s">
        <v>277</v>
      </c>
      <c r="D30" s="6" t="s">
        <v>306</v>
      </c>
      <c r="E30" s="1">
        <v>2022</v>
      </c>
      <c r="F30" s="6" t="s">
        <v>307</v>
      </c>
      <c r="G30" s="2" t="s">
        <v>308</v>
      </c>
      <c r="H30" s="1" t="s">
        <v>309</v>
      </c>
      <c r="I30" s="1" t="s">
        <v>33</v>
      </c>
      <c r="J30" s="1" t="s">
        <v>282</v>
      </c>
      <c r="K30" s="1" t="s">
        <v>310</v>
      </c>
      <c r="L30" s="1" t="s">
        <v>311</v>
      </c>
      <c r="M30" s="1" t="s">
        <v>140</v>
      </c>
      <c r="N30" s="1" t="s">
        <v>11</v>
      </c>
      <c r="O30" s="2" t="s">
        <v>311</v>
      </c>
      <c r="P30" s="1" t="s">
        <v>312</v>
      </c>
      <c r="Q30" s="1" t="s">
        <v>313</v>
      </c>
      <c r="R30" s="1" t="s">
        <v>15</v>
      </c>
      <c r="S30" s="1" t="s">
        <v>76</v>
      </c>
      <c r="T30" s="3" t="str">
        <f t="shared" si="0"/>
        <v>Clasificación y detección de cambios – Regresión</v>
      </c>
      <c r="U30" s="1" t="s">
        <v>25</v>
      </c>
      <c r="V30" s="2" t="s">
        <v>25</v>
      </c>
      <c r="W30" s="1" t="s">
        <v>41</v>
      </c>
      <c r="X30" s="1" t="s">
        <v>42</v>
      </c>
      <c r="Y30" s="1" t="s">
        <v>20</v>
      </c>
      <c r="Z30" s="2" t="s">
        <v>314</v>
      </c>
      <c r="AA30" s="1" t="s">
        <v>25</v>
      </c>
      <c r="AB30" s="1" t="s">
        <v>20</v>
      </c>
      <c r="AC30" s="1" t="s">
        <v>25</v>
      </c>
      <c r="AD30" s="1" t="s">
        <v>25</v>
      </c>
      <c r="AE30" s="1" t="s">
        <v>25</v>
      </c>
      <c r="AF30" s="1" t="s">
        <v>25</v>
      </c>
      <c r="AG30" s="1"/>
      <c r="AH30" s="4" t="str">
        <f t="shared" si="1"/>
        <v>NR</v>
      </c>
      <c r="AI30" s="1" t="s">
        <v>25</v>
      </c>
      <c r="AJ30" s="2" t="s">
        <v>315</v>
      </c>
      <c r="AK30" s="2"/>
    </row>
    <row r="31" spans="1:37" ht="24.95" customHeight="1" x14ac:dyDescent="0.25">
      <c r="A31" s="1" t="s">
        <v>316</v>
      </c>
      <c r="B31" s="1">
        <v>35</v>
      </c>
      <c r="C31" s="1" t="s">
        <v>277</v>
      </c>
      <c r="D31" s="6" t="s">
        <v>317</v>
      </c>
      <c r="E31" s="1">
        <v>2024</v>
      </c>
      <c r="F31" s="6" t="s">
        <v>318</v>
      </c>
      <c r="G31" s="2" t="s">
        <v>319</v>
      </c>
      <c r="H31" s="1" t="s">
        <v>320</v>
      </c>
      <c r="I31" s="1" t="s">
        <v>33</v>
      </c>
      <c r="J31" s="1" t="s">
        <v>282</v>
      </c>
      <c r="K31" s="1" t="s">
        <v>321</v>
      </c>
      <c r="L31" s="1" t="s">
        <v>322</v>
      </c>
      <c r="M31" s="1" t="s">
        <v>140</v>
      </c>
      <c r="N31" s="1" t="s">
        <v>323</v>
      </c>
      <c r="O31" s="2" t="s">
        <v>322</v>
      </c>
      <c r="P31" s="1" t="s">
        <v>312</v>
      </c>
      <c r="Q31" s="1" t="s">
        <v>324</v>
      </c>
      <c r="R31" s="1" t="s">
        <v>15</v>
      </c>
      <c r="S31" s="1" t="s">
        <v>39</v>
      </c>
      <c r="T31" s="3" t="str">
        <f t="shared" si="0"/>
        <v>Clasificación y detección de cambios – Clasificación</v>
      </c>
      <c r="U31" s="1" t="s">
        <v>325</v>
      </c>
      <c r="V31" s="2" t="s">
        <v>326</v>
      </c>
      <c r="W31" s="1" t="s">
        <v>41</v>
      </c>
      <c r="X31" s="1" t="s">
        <v>42</v>
      </c>
      <c r="Y31" s="1" t="s">
        <v>20</v>
      </c>
      <c r="Z31" s="2" t="s">
        <v>21</v>
      </c>
      <c r="AA31" s="1" t="s">
        <v>22</v>
      </c>
      <c r="AB31" s="1" t="s">
        <v>20</v>
      </c>
      <c r="AC31" s="1" t="s">
        <v>25</v>
      </c>
      <c r="AD31" s="1" t="s">
        <v>25</v>
      </c>
      <c r="AE31" s="1" t="s">
        <v>25</v>
      </c>
      <c r="AF31" s="1" t="s">
        <v>25</v>
      </c>
      <c r="AG31" s="1"/>
      <c r="AH31" s="4" t="str">
        <f t="shared" si="1"/>
        <v>NR</v>
      </c>
      <c r="AI31" s="1" t="s">
        <v>25</v>
      </c>
      <c r="AJ31" s="2" t="s">
        <v>327</v>
      </c>
      <c r="AK31" s="2"/>
    </row>
    <row r="32" spans="1:37" ht="24.95" customHeight="1" x14ac:dyDescent="0.25">
      <c r="A32" s="1" t="s">
        <v>328</v>
      </c>
      <c r="B32" s="1">
        <v>36</v>
      </c>
      <c r="C32" s="1" t="s">
        <v>277</v>
      </c>
      <c r="D32" s="6" t="s">
        <v>329</v>
      </c>
      <c r="E32" s="1">
        <v>2023</v>
      </c>
      <c r="F32" s="6" t="s">
        <v>330</v>
      </c>
      <c r="G32" s="2" t="s">
        <v>331</v>
      </c>
      <c r="H32" s="1" t="s">
        <v>332</v>
      </c>
      <c r="I32" s="1" t="s">
        <v>33</v>
      </c>
      <c r="J32" s="1" t="s">
        <v>282</v>
      </c>
      <c r="K32" s="1" t="s">
        <v>321</v>
      </c>
      <c r="L32" s="1" t="s">
        <v>322</v>
      </c>
      <c r="M32" s="1" t="s">
        <v>140</v>
      </c>
      <c r="N32" s="1" t="s">
        <v>323</v>
      </c>
      <c r="O32" s="2" t="s">
        <v>322</v>
      </c>
      <c r="P32" s="1" t="s">
        <v>37</v>
      </c>
      <c r="Q32" s="1" t="s">
        <v>333</v>
      </c>
      <c r="R32" s="1" t="s">
        <v>15</v>
      </c>
      <c r="S32" s="1" t="s">
        <v>39</v>
      </c>
      <c r="T32" s="3" t="str">
        <f t="shared" si="0"/>
        <v>Machine learning – Clasificación</v>
      </c>
      <c r="U32" s="1" t="s">
        <v>25</v>
      </c>
      <c r="V32" s="2" t="s">
        <v>25</v>
      </c>
      <c r="W32" s="1" t="s">
        <v>41</v>
      </c>
      <c r="X32" s="1" t="s">
        <v>42</v>
      </c>
      <c r="Y32" s="1" t="s">
        <v>20</v>
      </c>
      <c r="Z32" s="2" t="s">
        <v>334</v>
      </c>
      <c r="AA32" s="1" t="s">
        <v>25</v>
      </c>
      <c r="AB32" s="1" t="s">
        <v>20</v>
      </c>
      <c r="AC32" s="1" t="s">
        <v>25</v>
      </c>
      <c r="AD32" s="1" t="s">
        <v>25</v>
      </c>
      <c r="AE32" s="1" t="s">
        <v>25</v>
      </c>
      <c r="AF32" s="1" t="s">
        <v>25</v>
      </c>
      <c r="AG32" s="1"/>
      <c r="AH32" s="4" t="str">
        <f t="shared" si="1"/>
        <v>NR</v>
      </c>
      <c r="AI32" s="1" t="s">
        <v>25</v>
      </c>
      <c r="AJ32" s="2" t="s">
        <v>335</v>
      </c>
      <c r="AK32" s="2"/>
    </row>
    <row r="33" spans="1:37" ht="24.95" customHeight="1" x14ac:dyDescent="0.25">
      <c r="A33" s="1" t="s">
        <v>336</v>
      </c>
      <c r="B33" s="1">
        <v>37</v>
      </c>
      <c r="C33" s="1" t="s">
        <v>277</v>
      </c>
      <c r="D33" s="6" t="s">
        <v>337</v>
      </c>
      <c r="E33" s="1">
        <v>2024</v>
      </c>
      <c r="F33" s="6" t="s">
        <v>338</v>
      </c>
      <c r="G33" s="2" t="s">
        <v>339</v>
      </c>
      <c r="H33" s="1" t="s">
        <v>340</v>
      </c>
      <c r="I33" s="1" t="s">
        <v>33</v>
      </c>
      <c r="J33" s="1" t="s">
        <v>282</v>
      </c>
      <c r="K33" s="1" t="s">
        <v>321</v>
      </c>
      <c r="L33" s="1" t="s">
        <v>322</v>
      </c>
      <c r="M33" s="1" t="s">
        <v>140</v>
      </c>
      <c r="N33" s="1" t="s">
        <v>323</v>
      </c>
      <c r="O33" s="2" t="s">
        <v>322</v>
      </c>
      <c r="P33" s="1" t="s">
        <v>312</v>
      </c>
      <c r="Q33" s="1" t="s">
        <v>324</v>
      </c>
      <c r="R33" s="1" t="s">
        <v>15</v>
      </c>
      <c r="S33" s="1" t="s">
        <v>39</v>
      </c>
      <c r="T33" s="3" t="str">
        <f t="shared" si="0"/>
        <v>Clasificación y detección de cambios – Clasificación</v>
      </c>
      <c r="U33" s="1" t="s">
        <v>25</v>
      </c>
      <c r="V33" s="2" t="s">
        <v>25</v>
      </c>
      <c r="W33" s="1" t="s">
        <v>41</v>
      </c>
      <c r="X33" s="1" t="s">
        <v>42</v>
      </c>
      <c r="Y33" s="1" t="s">
        <v>20</v>
      </c>
      <c r="Z33" s="2" t="s">
        <v>296</v>
      </c>
      <c r="AA33" s="1" t="s">
        <v>25</v>
      </c>
      <c r="AB33" s="1" t="s">
        <v>20</v>
      </c>
      <c r="AC33" s="1" t="s">
        <v>25</v>
      </c>
      <c r="AD33" s="1" t="s">
        <v>25</v>
      </c>
      <c r="AE33" s="1" t="s">
        <v>25</v>
      </c>
      <c r="AF33" s="1" t="s">
        <v>25</v>
      </c>
      <c r="AG33" s="1"/>
      <c r="AH33" s="4" t="str">
        <f t="shared" si="1"/>
        <v>NR</v>
      </c>
      <c r="AI33" s="1" t="s">
        <v>25</v>
      </c>
      <c r="AJ33" s="2" t="s">
        <v>341</v>
      </c>
      <c r="AK33" s="2"/>
    </row>
    <row r="34" spans="1:37" ht="24.95" customHeight="1" x14ac:dyDescent="0.25">
      <c r="A34" s="1" t="s">
        <v>342</v>
      </c>
      <c r="B34" s="1">
        <v>38</v>
      </c>
      <c r="C34" s="1" t="s">
        <v>277</v>
      </c>
      <c r="D34" s="6" t="s">
        <v>25</v>
      </c>
      <c r="E34" s="1">
        <v>2025</v>
      </c>
      <c r="F34" s="6" t="s">
        <v>343</v>
      </c>
      <c r="G34" s="2" t="s">
        <v>344</v>
      </c>
      <c r="H34" s="1" t="s">
        <v>345</v>
      </c>
      <c r="I34" s="1" t="s">
        <v>33</v>
      </c>
      <c r="J34" s="1" t="s">
        <v>282</v>
      </c>
      <c r="K34" s="1" t="s">
        <v>138</v>
      </c>
      <c r="L34" s="1" t="s">
        <v>139</v>
      </c>
      <c r="M34" s="1" t="s">
        <v>140</v>
      </c>
      <c r="N34" s="1" t="s">
        <v>11</v>
      </c>
      <c r="O34" s="2" t="s">
        <v>139</v>
      </c>
      <c r="P34" s="1" t="s">
        <v>75</v>
      </c>
      <c r="Q34" s="1" t="s">
        <v>74</v>
      </c>
      <c r="R34" s="1" t="s">
        <v>15</v>
      </c>
      <c r="S34" s="1" t="s">
        <v>76</v>
      </c>
      <c r="T34" s="3" t="str">
        <f t="shared" si="0"/>
        <v>Autocorrelación espacial – Regresión</v>
      </c>
      <c r="U34" s="1" t="s">
        <v>25</v>
      </c>
      <c r="V34" s="2" t="s">
        <v>25</v>
      </c>
      <c r="W34" s="1" t="s">
        <v>41</v>
      </c>
      <c r="X34" s="1" t="s">
        <v>42</v>
      </c>
      <c r="Y34" s="1" t="s">
        <v>20</v>
      </c>
      <c r="Z34" s="2" t="s">
        <v>296</v>
      </c>
      <c r="AA34" s="1" t="s">
        <v>25</v>
      </c>
      <c r="AB34" s="1" t="s">
        <v>20</v>
      </c>
      <c r="AC34" s="1" t="s">
        <v>25</v>
      </c>
      <c r="AD34" s="1" t="s">
        <v>25</v>
      </c>
      <c r="AE34" s="1" t="s">
        <v>25</v>
      </c>
      <c r="AF34" s="1" t="s">
        <v>25</v>
      </c>
      <c r="AG34" s="1"/>
      <c r="AH34" s="4" t="str">
        <f t="shared" si="1"/>
        <v>NR</v>
      </c>
      <c r="AI34" s="1" t="s">
        <v>25</v>
      </c>
      <c r="AJ34" s="2" t="s">
        <v>346</v>
      </c>
      <c r="AK34" s="2"/>
    </row>
    <row r="35" spans="1:37" ht="24.95" customHeight="1" x14ac:dyDescent="0.25">
      <c r="A35" s="1" t="s">
        <v>347</v>
      </c>
      <c r="B35" s="1">
        <v>39</v>
      </c>
      <c r="C35" s="1" t="s">
        <v>277</v>
      </c>
      <c r="D35" s="6" t="s">
        <v>348</v>
      </c>
      <c r="E35" s="1">
        <v>2024</v>
      </c>
      <c r="F35" s="6" t="s">
        <v>349</v>
      </c>
      <c r="G35" s="2" t="s">
        <v>350</v>
      </c>
      <c r="H35" s="1" t="s">
        <v>351</v>
      </c>
      <c r="I35" s="1" t="s">
        <v>33</v>
      </c>
      <c r="J35" s="1" t="s">
        <v>282</v>
      </c>
      <c r="K35" s="1" t="s">
        <v>55</v>
      </c>
      <c r="L35" s="1" t="s">
        <v>352</v>
      </c>
      <c r="M35" s="1" t="s">
        <v>57</v>
      </c>
      <c r="N35" s="1" t="s">
        <v>11</v>
      </c>
      <c r="O35" s="2" t="s">
        <v>352</v>
      </c>
      <c r="P35" s="1" t="s">
        <v>75</v>
      </c>
      <c r="Q35" s="1" t="s">
        <v>353</v>
      </c>
      <c r="R35" s="1" t="s">
        <v>15</v>
      </c>
      <c r="S35" s="1" t="s">
        <v>16</v>
      </c>
      <c r="T35" s="3" t="str">
        <f t="shared" si="0"/>
        <v>Autocorrelación espacial – Descriptivo</v>
      </c>
      <c r="U35" s="1" t="s">
        <v>25</v>
      </c>
      <c r="V35" s="2" t="s">
        <v>25</v>
      </c>
      <c r="W35" s="1" t="s">
        <v>41</v>
      </c>
      <c r="X35" s="1" t="s">
        <v>42</v>
      </c>
      <c r="Y35" s="1" t="s">
        <v>20</v>
      </c>
      <c r="Z35" s="2" t="s">
        <v>21</v>
      </c>
      <c r="AA35" s="1" t="s">
        <v>22</v>
      </c>
      <c r="AB35" s="1" t="s">
        <v>20</v>
      </c>
      <c r="AC35" s="1" t="s">
        <v>23</v>
      </c>
      <c r="AD35" s="1" t="s">
        <v>22</v>
      </c>
      <c r="AE35" s="1" t="s">
        <v>23</v>
      </c>
      <c r="AF35" s="1" t="s">
        <v>22</v>
      </c>
      <c r="AG35" s="1"/>
      <c r="AH35" s="4" t="str">
        <f t="shared" si="1"/>
        <v>No aplica</v>
      </c>
      <c r="AI35" s="1" t="s">
        <v>25</v>
      </c>
      <c r="AJ35" s="2" t="s">
        <v>354</v>
      </c>
      <c r="AK35" s="2"/>
    </row>
    <row r="36" spans="1:37" ht="24.95" customHeight="1" x14ac:dyDescent="0.25">
      <c r="A36" s="1" t="s">
        <v>355</v>
      </c>
      <c r="B36" s="1">
        <v>40</v>
      </c>
      <c r="C36" s="1" t="s">
        <v>277</v>
      </c>
      <c r="D36" s="6" t="s">
        <v>356</v>
      </c>
      <c r="E36" s="1">
        <v>2025</v>
      </c>
      <c r="F36" s="6" t="s">
        <v>357</v>
      </c>
      <c r="G36" s="2" t="s">
        <v>358</v>
      </c>
      <c r="H36" s="1" t="s">
        <v>359</v>
      </c>
      <c r="I36" s="1" t="s">
        <v>33</v>
      </c>
      <c r="J36" s="1" t="s">
        <v>282</v>
      </c>
      <c r="K36" s="1" t="s">
        <v>360</v>
      </c>
      <c r="L36" s="1" t="s">
        <v>361</v>
      </c>
      <c r="M36" s="1" t="s">
        <v>10</v>
      </c>
      <c r="N36" s="1" t="s">
        <v>11</v>
      </c>
      <c r="O36" s="2" t="s">
        <v>361</v>
      </c>
      <c r="P36" s="1" t="s">
        <v>37</v>
      </c>
      <c r="Q36" s="1" t="s">
        <v>362</v>
      </c>
      <c r="R36" s="1" t="s">
        <v>15</v>
      </c>
      <c r="S36" s="1" t="s">
        <v>39</v>
      </c>
      <c r="T36" s="3" t="str">
        <f t="shared" si="0"/>
        <v>Machine learning – Clasificación</v>
      </c>
      <c r="U36" s="1" t="s">
        <v>25</v>
      </c>
      <c r="V36" s="2" t="s">
        <v>25</v>
      </c>
      <c r="W36" s="1" t="s">
        <v>41</v>
      </c>
      <c r="X36" s="1" t="s">
        <v>42</v>
      </c>
      <c r="Y36" s="1" t="s">
        <v>20</v>
      </c>
      <c r="Z36" s="2" t="s">
        <v>363</v>
      </c>
      <c r="AA36" s="1" t="s">
        <v>25</v>
      </c>
      <c r="AB36" s="1" t="s">
        <v>20</v>
      </c>
      <c r="AC36" s="1" t="s">
        <v>25</v>
      </c>
      <c r="AD36" s="1" t="s">
        <v>25</v>
      </c>
      <c r="AE36" s="1" t="s">
        <v>25</v>
      </c>
      <c r="AF36" s="1" t="s">
        <v>25</v>
      </c>
      <c r="AG36" s="1"/>
      <c r="AH36" s="4" t="str">
        <f t="shared" si="1"/>
        <v>NR</v>
      </c>
      <c r="AI36" s="1" t="s">
        <v>25</v>
      </c>
      <c r="AJ36" s="2" t="s">
        <v>364</v>
      </c>
      <c r="AK36" s="2"/>
    </row>
    <row r="37" spans="1:37" ht="24.95" customHeight="1" x14ac:dyDescent="0.25">
      <c r="A37" s="1" t="s">
        <v>365</v>
      </c>
      <c r="B37" s="1">
        <v>41</v>
      </c>
      <c r="C37" s="1" t="s">
        <v>277</v>
      </c>
      <c r="D37" s="6" t="s">
        <v>25</v>
      </c>
      <c r="E37" s="1">
        <v>2022</v>
      </c>
      <c r="F37" s="6" t="s">
        <v>366</v>
      </c>
      <c r="G37" s="2" t="s">
        <v>367</v>
      </c>
      <c r="H37" s="1" t="s">
        <v>368</v>
      </c>
      <c r="I37" s="1" t="s">
        <v>33</v>
      </c>
      <c r="J37" s="1" t="s">
        <v>282</v>
      </c>
      <c r="K37" s="1" t="s">
        <v>369</v>
      </c>
      <c r="L37" s="1" t="s">
        <v>370</v>
      </c>
      <c r="M37" s="1" t="s">
        <v>10</v>
      </c>
      <c r="N37" s="1" t="s">
        <v>11</v>
      </c>
      <c r="O37" s="2" t="s">
        <v>370</v>
      </c>
      <c r="P37" s="1" t="s">
        <v>312</v>
      </c>
      <c r="Q37" s="1" t="s">
        <v>324</v>
      </c>
      <c r="R37" s="1" t="s">
        <v>15</v>
      </c>
      <c r="S37" s="1" t="s">
        <v>39</v>
      </c>
      <c r="T37" s="3" t="str">
        <f t="shared" si="0"/>
        <v>Clasificación y detección de cambios – Clasificación</v>
      </c>
      <c r="U37" s="1" t="s">
        <v>287</v>
      </c>
      <c r="V37" s="2" t="s">
        <v>288</v>
      </c>
      <c r="W37" s="1" t="s">
        <v>41</v>
      </c>
      <c r="X37" s="1" t="s">
        <v>42</v>
      </c>
      <c r="Y37" s="1" t="s">
        <v>20</v>
      </c>
      <c r="Z37" s="2" t="s">
        <v>21</v>
      </c>
      <c r="AA37" s="1" t="s">
        <v>22</v>
      </c>
      <c r="AB37" s="1" t="s">
        <v>20</v>
      </c>
      <c r="AC37" s="1" t="s">
        <v>25</v>
      </c>
      <c r="AD37" s="1" t="s">
        <v>25</v>
      </c>
      <c r="AE37" s="1" t="s">
        <v>25</v>
      </c>
      <c r="AF37" s="1" t="s">
        <v>25</v>
      </c>
      <c r="AG37" s="1"/>
      <c r="AH37" s="4" t="str">
        <f t="shared" si="1"/>
        <v>NR</v>
      </c>
      <c r="AI37" s="1" t="s">
        <v>25</v>
      </c>
      <c r="AJ37" s="2" t="s">
        <v>371</v>
      </c>
      <c r="AK37" s="2"/>
    </row>
    <row r="38" spans="1:37" ht="24.95" customHeight="1" x14ac:dyDescent="0.25">
      <c r="A38" s="1" t="s">
        <v>372</v>
      </c>
      <c r="B38" s="1">
        <v>42</v>
      </c>
      <c r="C38" s="1" t="s">
        <v>277</v>
      </c>
      <c r="D38" s="6" t="s">
        <v>373</v>
      </c>
      <c r="E38" s="1">
        <v>2026</v>
      </c>
      <c r="F38" s="6" t="s">
        <v>374</v>
      </c>
      <c r="G38" s="2" t="s">
        <v>375</v>
      </c>
      <c r="H38" s="1" t="s">
        <v>376</v>
      </c>
      <c r="I38" s="1" t="s">
        <v>33</v>
      </c>
      <c r="J38" s="1" t="s">
        <v>282</v>
      </c>
      <c r="K38" s="1" t="s">
        <v>377</v>
      </c>
      <c r="L38" s="1" t="s">
        <v>378</v>
      </c>
      <c r="M38" s="1" t="s">
        <v>285</v>
      </c>
      <c r="N38" s="1" t="s">
        <v>11</v>
      </c>
      <c r="O38" s="2" t="s">
        <v>379</v>
      </c>
      <c r="P38" s="1" t="s">
        <v>312</v>
      </c>
      <c r="Q38" s="1" t="s">
        <v>380</v>
      </c>
      <c r="R38" s="1" t="s">
        <v>15</v>
      </c>
      <c r="S38" s="1" t="s">
        <v>39</v>
      </c>
      <c r="T38" s="3" t="str">
        <f t="shared" si="0"/>
        <v>Clasificación y detección de cambios – Clasificación</v>
      </c>
      <c r="U38" s="1" t="s">
        <v>325</v>
      </c>
      <c r="V38" s="2" t="s">
        <v>325</v>
      </c>
      <c r="W38" s="1" t="s">
        <v>41</v>
      </c>
      <c r="X38" s="1" t="s">
        <v>42</v>
      </c>
      <c r="Y38" s="1" t="s">
        <v>20</v>
      </c>
      <c r="Z38" s="2" t="s">
        <v>296</v>
      </c>
      <c r="AA38" s="1" t="s">
        <v>25</v>
      </c>
      <c r="AB38" s="1" t="s">
        <v>20</v>
      </c>
      <c r="AC38" s="1" t="s">
        <v>25</v>
      </c>
      <c r="AD38" s="1" t="s">
        <v>25</v>
      </c>
      <c r="AE38" s="1" t="s">
        <v>25</v>
      </c>
      <c r="AF38" s="1" t="s">
        <v>25</v>
      </c>
      <c r="AG38" s="1"/>
      <c r="AH38" s="4" t="str">
        <f t="shared" si="1"/>
        <v>NR</v>
      </c>
      <c r="AI38" s="1" t="s">
        <v>25</v>
      </c>
      <c r="AJ38" s="2" t="s">
        <v>381</v>
      </c>
      <c r="AK38" s="2"/>
    </row>
    <row r="39" spans="1:37" ht="24.95" customHeight="1" x14ac:dyDescent="0.25">
      <c r="A39" s="1" t="s">
        <v>382</v>
      </c>
      <c r="B39" s="1">
        <v>43</v>
      </c>
      <c r="C39" s="1" t="s">
        <v>277</v>
      </c>
      <c r="D39" s="6" t="s">
        <v>383</v>
      </c>
      <c r="E39" s="1">
        <v>2022</v>
      </c>
      <c r="F39" s="6" t="s">
        <v>384</v>
      </c>
      <c r="G39" s="2" t="s">
        <v>385</v>
      </c>
      <c r="H39" s="1" t="s">
        <v>386</v>
      </c>
      <c r="I39" s="1" t="s">
        <v>33</v>
      </c>
      <c r="J39" s="1" t="s">
        <v>282</v>
      </c>
      <c r="K39" s="1" t="s">
        <v>360</v>
      </c>
      <c r="L39" s="1" t="s">
        <v>361</v>
      </c>
      <c r="M39" s="1" t="s">
        <v>10</v>
      </c>
      <c r="N39" s="1" t="s">
        <v>11</v>
      </c>
      <c r="O39" s="2" t="s">
        <v>361</v>
      </c>
      <c r="P39" s="1" t="s">
        <v>75</v>
      </c>
      <c r="Q39" s="1" t="s">
        <v>286</v>
      </c>
      <c r="R39" s="1" t="s">
        <v>15</v>
      </c>
      <c r="S39" s="1" t="s">
        <v>16</v>
      </c>
      <c r="T39" s="3" t="str">
        <f t="shared" si="0"/>
        <v>Autocorrelación espacial – Descriptivo</v>
      </c>
      <c r="U39" s="1" t="s">
        <v>25</v>
      </c>
      <c r="V39" s="2" t="s">
        <v>25</v>
      </c>
      <c r="W39" s="1" t="s">
        <v>41</v>
      </c>
      <c r="X39" s="1" t="s">
        <v>42</v>
      </c>
      <c r="Y39" s="1" t="s">
        <v>20</v>
      </c>
      <c r="Z39" s="2" t="s">
        <v>296</v>
      </c>
      <c r="AA39" s="1" t="s">
        <v>25</v>
      </c>
      <c r="AB39" s="1" t="s">
        <v>20</v>
      </c>
      <c r="AC39" s="1" t="s">
        <v>23</v>
      </c>
      <c r="AD39" s="1" t="s">
        <v>22</v>
      </c>
      <c r="AE39" s="1" t="s">
        <v>23</v>
      </c>
      <c r="AF39" s="1" t="s">
        <v>22</v>
      </c>
      <c r="AG39" s="1"/>
      <c r="AH39" s="4" t="str">
        <f t="shared" si="1"/>
        <v>No aplica</v>
      </c>
      <c r="AI39" s="1" t="s">
        <v>25</v>
      </c>
      <c r="AJ39" s="2" t="s">
        <v>387</v>
      </c>
      <c r="AK39" s="2"/>
    </row>
    <row r="40" spans="1:37" ht="24.95" customHeight="1" x14ac:dyDescent="0.25">
      <c r="A40" s="1" t="s">
        <v>388</v>
      </c>
      <c r="B40" s="1">
        <v>44</v>
      </c>
      <c r="C40" s="1" t="s">
        <v>277</v>
      </c>
      <c r="D40" s="6" t="s">
        <v>389</v>
      </c>
      <c r="E40" s="1">
        <v>2024</v>
      </c>
      <c r="F40" s="6" t="s">
        <v>390</v>
      </c>
      <c r="G40" s="2" t="s">
        <v>391</v>
      </c>
      <c r="H40" s="1" t="s">
        <v>392</v>
      </c>
      <c r="I40" s="1" t="s">
        <v>33</v>
      </c>
      <c r="J40" s="1" t="s">
        <v>282</v>
      </c>
      <c r="K40" s="1" t="s">
        <v>34</v>
      </c>
      <c r="L40" s="1" t="s">
        <v>35</v>
      </c>
      <c r="M40" s="1" t="s">
        <v>10</v>
      </c>
      <c r="N40" s="1" t="s">
        <v>11</v>
      </c>
      <c r="O40" s="2" t="s">
        <v>35</v>
      </c>
      <c r="P40" s="1" t="s">
        <v>312</v>
      </c>
      <c r="Q40" s="1" t="s">
        <v>393</v>
      </c>
      <c r="R40" s="1" t="s">
        <v>15</v>
      </c>
      <c r="S40" s="1" t="s">
        <v>39</v>
      </c>
      <c r="T40" s="3" t="str">
        <f t="shared" si="0"/>
        <v>Clasificación y detección de cambios – Clasificación</v>
      </c>
      <c r="U40" s="1" t="s">
        <v>25</v>
      </c>
      <c r="V40" s="2" t="s">
        <v>25</v>
      </c>
      <c r="W40" s="1" t="s">
        <v>41</v>
      </c>
      <c r="X40" s="1" t="s">
        <v>42</v>
      </c>
      <c r="Y40" s="1" t="s">
        <v>20</v>
      </c>
      <c r="Z40" s="2" t="s">
        <v>296</v>
      </c>
      <c r="AA40" s="1" t="s">
        <v>25</v>
      </c>
      <c r="AB40" s="1" t="s">
        <v>20</v>
      </c>
      <c r="AC40" s="1" t="s">
        <v>25</v>
      </c>
      <c r="AD40" s="1" t="s">
        <v>25</v>
      </c>
      <c r="AE40" s="1" t="s">
        <v>25</v>
      </c>
      <c r="AF40" s="1" t="s">
        <v>25</v>
      </c>
      <c r="AG40" s="1"/>
      <c r="AH40" s="4" t="str">
        <f t="shared" si="1"/>
        <v>NR</v>
      </c>
      <c r="AI40" s="1" t="s">
        <v>25</v>
      </c>
      <c r="AJ40" s="2" t="s">
        <v>394</v>
      </c>
      <c r="AK40" s="2"/>
    </row>
    <row r="41" spans="1:37" ht="24.95" customHeight="1" x14ac:dyDescent="0.25">
      <c r="A41" s="1" t="s">
        <v>395</v>
      </c>
      <c r="B41" s="1">
        <v>45</v>
      </c>
      <c r="C41" s="1" t="s">
        <v>277</v>
      </c>
      <c r="D41" s="6" t="s">
        <v>396</v>
      </c>
      <c r="E41" s="1">
        <v>2023</v>
      </c>
      <c r="F41" s="6" t="s">
        <v>397</v>
      </c>
      <c r="G41" s="2" t="s">
        <v>398</v>
      </c>
      <c r="H41" s="1" t="s">
        <v>399</v>
      </c>
      <c r="I41" s="1" t="s">
        <v>33</v>
      </c>
      <c r="J41" s="1" t="s">
        <v>282</v>
      </c>
      <c r="K41" s="1" t="s">
        <v>400</v>
      </c>
      <c r="L41" s="1" t="s">
        <v>401</v>
      </c>
      <c r="M41" s="1" t="s">
        <v>140</v>
      </c>
      <c r="N41" s="1" t="s">
        <v>11</v>
      </c>
      <c r="O41" s="2" t="s">
        <v>401</v>
      </c>
      <c r="P41" s="1" t="s">
        <v>312</v>
      </c>
      <c r="Q41" s="1" t="s">
        <v>324</v>
      </c>
      <c r="R41" s="1" t="s">
        <v>15</v>
      </c>
      <c r="S41" s="1" t="s">
        <v>39</v>
      </c>
      <c r="T41" s="3" t="str">
        <f t="shared" si="0"/>
        <v>Clasificación y detección de cambios – Clasificación</v>
      </c>
      <c r="U41" s="1" t="s">
        <v>25</v>
      </c>
      <c r="V41" s="2" t="s">
        <v>25</v>
      </c>
      <c r="W41" s="1" t="s">
        <v>41</v>
      </c>
      <c r="X41" s="1" t="s">
        <v>42</v>
      </c>
      <c r="Y41" s="1" t="s">
        <v>20</v>
      </c>
      <c r="Z41" s="2" t="s">
        <v>334</v>
      </c>
      <c r="AA41" s="1" t="s">
        <v>25</v>
      </c>
      <c r="AB41" s="1" t="s">
        <v>20</v>
      </c>
      <c r="AC41" s="1" t="s">
        <v>25</v>
      </c>
      <c r="AD41" s="1" t="s">
        <v>25</v>
      </c>
      <c r="AE41" s="1" t="s">
        <v>25</v>
      </c>
      <c r="AF41" s="1" t="s">
        <v>25</v>
      </c>
      <c r="AG41" s="1"/>
      <c r="AH41" s="4" t="str">
        <f t="shared" si="1"/>
        <v>NR</v>
      </c>
      <c r="AI41" s="1" t="s">
        <v>25</v>
      </c>
      <c r="AJ41" s="2" t="s">
        <v>402</v>
      </c>
      <c r="AK41" s="2"/>
    </row>
    <row r="42" spans="1:37" ht="24.95" customHeight="1" x14ac:dyDescent="0.25">
      <c r="A42" s="1" t="s">
        <v>403</v>
      </c>
      <c r="B42" s="1">
        <v>46</v>
      </c>
      <c r="C42" s="1" t="s">
        <v>277</v>
      </c>
      <c r="D42" s="6" t="s">
        <v>404</v>
      </c>
      <c r="E42" s="1">
        <v>2021</v>
      </c>
      <c r="F42" s="6" t="s">
        <v>405</v>
      </c>
      <c r="G42" s="2" t="s">
        <v>406</v>
      </c>
      <c r="H42" s="1" t="s">
        <v>407</v>
      </c>
      <c r="I42" s="1" t="s">
        <v>33</v>
      </c>
      <c r="J42" s="1" t="s">
        <v>282</v>
      </c>
      <c r="K42" s="1" t="s">
        <v>171</v>
      </c>
      <c r="L42" s="1" t="s">
        <v>172</v>
      </c>
      <c r="M42" s="1" t="s">
        <v>140</v>
      </c>
      <c r="N42" s="1" t="s">
        <v>11</v>
      </c>
      <c r="O42" s="2" t="s">
        <v>172</v>
      </c>
      <c r="P42" s="1" t="s">
        <v>312</v>
      </c>
      <c r="Q42" s="1" t="s">
        <v>324</v>
      </c>
      <c r="R42" s="1" t="s">
        <v>15</v>
      </c>
      <c r="S42" s="1" t="s">
        <v>39</v>
      </c>
      <c r="T42" s="3" t="str">
        <f t="shared" si="0"/>
        <v>Clasificación y detección de cambios – Clasificación</v>
      </c>
      <c r="U42" s="1" t="s">
        <v>287</v>
      </c>
      <c r="V42" s="2" t="s">
        <v>288</v>
      </c>
      <c r="W42" s="1" t="s">
        <v>41</v>
      </c>
      <c r="X42" s="1" t="s">
        <v>42</v>
      </c>
      <c r="Y42" s="1" t="s">
        <v>20</v>
      </c>
      <c r="Z42" s="2" t="s">
        <v>21</v>
      </c>
      <c r="AA42" s="1" t="s">
        <v>22</v>
      </c>
      <c r="AB42" s="1" t="s">
        <v>20</v>
      </c>
      <c r="AC42" s="1" t="s">
        <v>25</v>
      </c>
      <c r="AD42" s="1" t="s">
        <v>25</v>
      </c>
      <c r="AE42" s="1" t="s">
        <v>25</v>
      </c>
      <c r="AF42" s="1" t="s">
        <v>25</v>
      </c>
      <c r="AG42" s="1"/>
      <c r="AH42" s="4" t="str">
        <f t="shared" si="1"/>
        <v>NR</v>
      </c>
      <c r="AI42" s="1" t="s">
        <v>25</v>
      </c>
      <c r="AJ42" s="2" t="s">
        <v>408</v>
      </c>
      <c r="AK42" s="2"/>
    </row>
    <row r="43" spans="1:37" ht="24.95" customHeight="1" x14ac:dyDescent="0.25">
      <c r="A43" s="1" t="s">
        <v>409</v>
      </c>
      <c r="B43" s="1">
        <v>47</v>
      </c>
      <c r="C43" s="1" t="s">
        <v>277</v>
      </c>
      <c r="D43" s="6" t="s">
        <v>410</v>
      </c>
      <c r="E43" s="1">
        <v>2025</v>
      </c>
      <c r="F43" s="6" t="s">
        <v>411</v>
      </c>
      <c r="G43" s="2" t="s">
        <v>412</v>
      </c>
      <c r="H43" s="1" t="s">
        <v>413</v>
      </c>
      <c r="I43" s="1" t="s">
        <v>33</v>
      </c>
      <c r="J43" s="1" t="s">
        <v>282</v>
      </c>
      <c r="K43" s="1" t="s">
        <v>55</v>
      </c>
      <c r="L43" s="1" t="s">
        <v>414</v>
      </c>
      <c r="M43" s="1" t="s">
        <v>57</v>
      </c>
      <c r="N43" s="1" t="s">
        <v>11</v>
      </c>
      <c r="O43" s="2" t="s">
        <v>415</v>
      </c>
      <c r="P43" s="1" t="s">
        <v>37</v>
      </c>
      <c r="Q43" s="1" t="s">
        <v>362</v>
      </c>
      <c r="R43" s="1" t="s">
        <v>15</v>
      </c>
      <c r="S43" s="1" t="s">
        <v>39</v>
      </c>
      <c r="T43" s="3" t="str">
        <f t="shared" si="0"/>
        <v>Machine learning – Clasificación</v>
      </c>
      <c r="U43" s="1" t="s">
        <v>25</v>
      </c>
      <c r="V43" s="2" t="s">
        <v>25</v>
      </c>
      <c r="W43" s="1" t="s">
        <v>41</v>
      </c>
      <c r="X43" s="1" t="s">
        <v>42</v>
      </c>
      <c r="Y43" s="1" t="s">
        <v>20</v>
      </c>
      <c r="Z43" s="2" t="s">
        <v>21</v>
      </c>
      <c r="AA43" s="1" t="s">
        <v>22</v>
      </c>
      <c r="AB43" s="1" t="s">
        <v>20</v>
      </c>
      <c r="AC43" s="1" t="s">
        <v>25</v>
      </c>
      <c r="AD43" s="1" t="s">
        <v>25</v>
      </c>
      <c r="AE43" s="1" t="s">
        <v>25</v>
      </c>
      <c r="AF43" s="1" t="s">
        <v>25</v>
      </c>
      <c r="AG43" s="1"/>
      <c r="AH43" s="4" t="str">
        <f t="shared" si="1"/>
        <v>NR</v>
      </c>
      <c r="AI43" s="1" t="s">
        <v>25</v>
      </c>
      <c r="AJ43" s="2" t="s">
        <v>416</v>
      </c>
      <c r="AK43" s="2" t="s">
        <v>417</v>
      </c>
    </row>
    <row r="44" spans="1:37" ht="24.95" customHeight="1" x14ac:dyDescent="0.25">
      <c r="A44" s="1" t="s">
        <v>418</v>
      </c>
      <c r="B44" s="1">
        <v>48</v>
      </c>
      <c r="C44" s="1" t="s">
        <v>277</v>
      </c>
      <c r="D44" s="6" t="s">
        <v>419</v>
      </c>
      <c r="E44" s="1">
        <v>2023</v>
      </c>
      <c r="F44" s="6" t="s">
        <v>420</v>
      </c>
      <c r="G44" s="2" t="s">
        <v>421</v>
      </c>
      <c r="H44" s="1" t="s">
        <v>422</v>
      </c>
      <c r="I44" s="1" t="s">
        <v>33</v>
      </c>
      <c r="J44" s="1" t="s">
        <v>282</v>
      </c>
      <c r="K44" s="1" t="s">
        <v>138</v>
      </c>
      <c r="L44" s="1" t="s">
        <v>139</v>
      </c>
      <c r="M44" s="1" t="s">
        <v>140</v>
      </c>
      <c r="N44" s="1" t="s">
        <v>11</v>
      </c>
      <c r="O44" s="2" t="s">
        <v>423</v>
      </c>
      <c r="P44" s="1" t="s">
        <v>37</v>
      </c>
      <c r="Q44" s="1" t="s">
        <v>333</v>
      </c>
      <c r="R44" s="1" t="s">
        <v>15</v>
      </c>
      <c r="S44" s="1" t="s">
        <v>39</v>
      </c>
      <c r="T44" s="3" t="str">
        <f t="shared" si="0"/>
        <v>Machine learning – Clasificación</v>
      </c>
      <c r="U44" s="1" t="s">
        <v>6</v>
      </c>
      <c r="V44" s="2" t="s">
        <v>424</v>
      </c>
      <c r="W44" s="1" t="s">
        <v>41</v>
      </c>
      <c r="X44" s="1" t="s">
        <v>42</v>
      </c>
      <c r="Y44" s="1" t="s">
        <v>20</v>
      </c>
      <c r="Z44" s="2" t="s">
        <v>296</v>
      </c>
      <c r="AA44" s="1" t="s">
        <v>25</v>
      </c>
      <c r="AB44" s="1" t="s">
        <v>20</v>
      </c>
      <c r="AC44" s="1" t="s">
        <v>25</v>
      </c>
      <c r="AD44" s="1" t="s">
        <v>25</v>
      </c>
      <c r="AE44" s="1" t="s">
        <v>25</v>
      </c>
      <c r="AF44" s="1" t="s">
        <v>25</v>
      </c>
      <c r="AG44" s="1"/>
      <c r="AH44" s="4" t="str">
        <f t="shared" si="1"/>
        <v>NR</v>
      </c>
      <c r="AI44" s="1" t="s">
        <v>25</v>
      </c>
      <c r="AJ44" s="2" t="s">
        <v>425</v>
      </c>
      <c r="AK44" s="2"/>
    </row>
    <row r="45" spans="1:37" ht="24.95" customHeight="1" x14ac:dyDescent="0.25">
      <c r="A45" s="1" t="s">
        <v>426</v>
      </c>
      <c r="B45" s="1">
        <v>49</v>
      </c>
      <c r="C45" s="1" t="s">
        <v>277</v>
      </c>
      <c r="D45" s="6" t="s">
        <v>427</v>
      </c>
      <c r="E45" s="1">
        <v>2024</v>
      </c>
      <c r="F45" s="6" t="s">
        <v>374</v>
      </c>
      <c r="G45" s="2" t="s">
        <v>428</v>
      </c>
      <c r="H45" s="1" t="s">
        <v>429</v>
      </c>
      <c r="I45" s="1" t="s">
        <v>33</v>
      </c>
      <c r="J45" s="1" t="s">
        <v>282</v>
      </c>
      <c r="K45" s="1" t="s">
        <v>369</v>
      </c>
      <c r="L45" s="1" t="s">
        <v>370</v>
      </c>
      <c r="M45" s="1" t="s">
        <v>10</v>
      </c>
      <c r="N45" s="1" t="s">
        <v>11</v>
      </c>
      <c r="O45" s="2" t="s">
        <v>370</v>
      </c>
      <c r="P45" s="1" t="s">
        <v>37</v>
      </c>
      <c r="Q45" s="1" t="s">
        <v>333</v>
      </c>
      <c r="R45" s="1" t="s">
        <v>15</v>
      </c>
      <c r="S45" s="1" t="s">
        <v>39</v>
      </c>
      <c r="T45" s="3" t="str">
        <f t="shared" si="0"/>
        <v>Machine learning – Clasificación</v>
      </c>
      <c r="U45" s="1" t="s">
        <v>325</v>
      </c>
      <c r="V45" s="2" t="s">
        <v>430</v>
      </c>
      <c r="W45" s="1" t="s">
        <v>41</v>
      </c>
      <c r="X45" s="1" t="s">
        <v>42</v>
      </c>
      <c r="Y45" s="1" t="s">
        <v>20</v>
      </c>
      <c r="Z45" s="2" t="s">
        <v>21</v>
      </c>
      <c r="AA45" s="1" t="s">
        <v>22</v>
      </c>
      <c r="AB45" s="1" t="s">
        <v>20</v>
      </c>
      <c r="AC45" s="1" t="s">
        <v>25</v>
      </c>
      <c r="AD45" s="1" t="s">
        <v>25</v>
      </c>
      <c r="AE45" s="1" t="s">
        <v>25</v>
      </c>
      <c r="AF45" s="1" t="s">
        <v>25</v>
      </c>
      <c r="AG45" s="1"/>
      <c r="AH45" s="4" t="str">
        <f t="shared" si="1"/>
        <v>NR</v>
      </c>
      <c r="AI45" s="1" t="s">
        <v>25</v>
      </c>
      <c r="AJ45" s="2" t="s">
        <v>431</v>
      </c>
      <c r="AK45" s="2"/>
    </row>
    <row r="46" spans="1:37" ht="24.95" customHeight="1" x14ac:dyDescent="0.25">
      <c r="A46" s="1" t="s">
        <v>432</v>
      </c>
      <c r="B46" s="1">
        <v>50</v>
      </c>
      <c r="C46" s="1" t="s">
        <v>277</v>
      </c>
      <c r="D46" s="6" t="s">
        <v>433</v>
      </c>
      <c r="E46" s="1">
        <v>2021</v>
      </c>
      <c r="F46" s="6" t="s">
        <v>420</v>
      </c>
      <c r="G46" s="2" t="s">
        <v>434</v>
      </c>
      <c r="H46" s="1" t="s">
        <v>435</v>
      </c>
      <c r="I46" s="1" t="s">
        <v>33</v>
      </c>
      <c r="J46" s="1" t="s">
        <v>282</v>
      </c>
      <c r="K46" s="1" t="s">
        <v>436</v>
      </c>
      <c r="L46" s="1" t="s">
        <v>437</v>
      </c>
      <c r="M46" s="1" t="s">
        <v>10</v>
      </c>
      <c r="N46" s="1" t="s">
        <v>11</v>
      </c>
      <c r="O46" s="2" t="s">
        <v>438</v>
      </c>
      <c r="P46" s="1" t="s">
        <v>312</v>
      </c>
      <c r="Q46" s="1" t="s">
        <v>439</v>
      </c>
      <c r="R46" s="1" t="s">
        <v>15</v>
      </c>
      <c r="S46" s="1" t="s">
        <v>39</v>
      </c>
      <c r="T46" s="3" t="str">
        <f t="shared" si="0"/>
        <v>Clasificación y detección de cambios – Clasificación</v>
      </c>
      <c r="U46" s="1" t="s">
        <v>325</v>
      </c>
      <c r="V46" s="2" t="s">
        <v>325</v>
      </c>
      <c r="W46" s="1" t="s">
        <v>41</v>
      </c>
      <c r="X46" s="1" t="s">
        <v>42</v>
      </c>
      <c r="Y46" s="1" t="s">
        <v>20</v>
      </c>
      <c r="Z46" s="2" t="s">
        <v>21</v>
      </c>
      <c r="AA46" s="1" t="s">
        <v>22</v>
      </c>
      <c r="AB46" s="1" t="s">
        <v>20</v>
      </c>
      <c r="AC46" s="1" t="s">
        <v>25</v>
      </c>
      <c r="AD46" s="1" t="s">
        <v>25</v>
      </c>
      <c r="AE46" s="1" t="s">
        <v>25</v>
      </c>
      <c r="AF46" s="1" t="s">
        <v>25</v>
      </c>
      <c r="AG46" s="1"/>
      <c r="AH46" s="4" t="str">
        <f t="shared" si="1"/>
        <v>NR</v>
      </c>
      <c r="AI46" s="1" t="s">
        <v>25</v>
      </c>
      <c r="AJ46" s="2" t="s">
        <v>440</v>
      </c>
      <c r="AK46" s="2"/>
    </row>
    <row r="47" spans="1:37" ht="24.95" customHeight="1" x14ac:dyDescent="0.25">
      <c r="A47" s="1" t="s">
        <v>441</v>
      </c>
      <c r="B47" s="1">
        <v>51</v>
      </c>
      <c r="C47" s="1" t="s">
        <v>277</v>
      </c>
      <c r="D47" s="6" t="s">
        <v>442</v>
      </c>
      <c r="E47" s="1">
        <v>2023</v>
      </c>
      <c r="F47" s="6" t="s">
        <v>420</v>
      </c>
      <c r="G47" s="2" t="s">
        <v>443</v>
      </c>
      <c r="H47" s="1" t="s">
        <v>444</v>
      </c>
      <c r="I47" s="1" t="s">
        <v>33</v>
      </c>
      <c r="J47" s="1" t="s">
        <v>282</v>
      </c>
      <c r="K47" s="1" t="s">
        <v>55</v>
      </c>
      <c r="L47" s="1" t="s">
        <v>445</v>
      </c>
      <c r="M47" s="1" t="s">
        <v>57</v>
      </c>
      <c r="N47" s="1" t="s">
        <v>11</v>
      </c>
      <c r="O47" s="2" t="s">
        <v>446</v>
      </c>
      <c r="P47" s="1" t="s">
        <v>312</v>
      </c>
      <c r="Q47" s="1" t="s">
        <v>447</v>
      </c>
      <c r="R47" s="1" t="s">
        <v>15</v>
      </c>
      <c r="S47" s="1" t="s">
        <v>39</v>
      </c>
      <c r="T47" s="3" t="str">
        <f t="shared" si="0"/>
        <v>Clasificación y detección de cambios – Clasificación</v>
      </c>
      <c r="U47" s="1" t="s">
        <v>448</v>
      </c>
      <c r="V47" s="2" t="s">
        <v>449</v>
      </c>
      <c r="W47" s="1" t="s">
        <v>41</v>
      </c>
      <c r="X47" s="1" t="s">
        <v>42</v>
      </c>
      <c r="Y47" s="1" t="s">
        <v>20</v>
      </c>
      <c r="Z47" s="2" t="s">
        <v>296</v>
      </c>
      <c r="AA47" s="1" t="s">
        <v>25</v>
      </c>
      <c r="AB47" s="1" t="s">
        <v>20</v>
      </c>
      <c r="AC47" s="1" t="s">
        <v>25</v>
      </c>
      <c r="AD47" s="1" t="s">
        <v>25</v>
      </c>
      <c r="AE47" s="1" t="s">
        <v>25</v>
      </c>
      <c r="AF47" s="1" t="s">
        <v>25</v>
      </c>
      <c r="AG47" s="1"/>
      <c r="AH47" s="4" t="str">
        <f t="shared" si="1"/>
        <v>NR</v>
      </c>
      <c r="AI47" s="1" t="s">
        <v>25</v>
      </c>
      <c r="AJ47" s="2" t="s">
        <v>450</v>
      </c>
      <c r="AK47" s="2"/>
    </row>
    <row r="48" spans="1:37" ht="24.95" customHeight="1" x14ac:dyDescent="0.25">
      <c r="A48" s="1" t="s">
        <v>451</v>
      </c>
      <c r="B48" s="1">
        <v>52</v>
      </c>
      <c r="C48" s="1" t="s">
        <v>277</v>
      </c>
      <c r="D48" s="6" t="s">
        <v>389</v>
      </c>
      <c r="E48" s="1">
        <v>2023</v>
      </c>
      <c r="F48" s="6" t="s">
        <v>390</v>
      </c>
      <c r="G48" s="2" t="s">
        <v>452</v>
      </c>
      <c r="H48" s="1" t="s">
        <v>453</v>
      </c>
      <c r="I48" s="1" t="s">
        <v>33</v>
      </c>
      <c r="J48" s="1" t="s">
        <v>282</v>
      </c>
      <c r="K48" s="1" t="s">
        <v>25</v>
      </c>
      <c r="L48" s="1" t="s">
        <v>454</v>
      </c>
      <c r="M48" s="1" t="s">
        <v>25</v>
      </c>
      <c r="N48" s="1" t="s">
        <v>25</v>
      </c>
      <c r="O48" s="2" t="s">
        <v>454</v>
      </c>
      <c r="P48" s="1" t="s">
        <v>312</v>
      </c>
      <c r="Q48" s="1" t="s">
        <v>439</v>
      </c>
      <c r="R48" s="1" t="s">
        <v>15</v>
      </c>
      <c r="S48" s="1" t="s">
        <v>39</v>
      </c>
      <c r="T48" s="3" t="str">
        <f t="shared" si="0"/>
        <v>Clasificación y detección de cambios – Clasificación</v>
      </c>
      <c r="U48" s="1" t="s">
        <v>325</v>
      </c>
      <c r="V48" s="2" t="s">
        <v>325</v>
      </c>
      <c r="W48" s="1" t="s">
        <v>41</v>
      </c>
      <c r="X48" s="1" t="s">
        <v>42</v>
      </c>
      <c r="Y48" s="1" t="s">
        <v>20</v>
      </c>
      <c r="Z48" s="2" t="s">
        <v>21</v>
      </c>
      <c r="AA48" s="1" t="s">
        <v>22</v>
      </c>
      <c r="AB48" s="1" t="s">
        <v>20</v>
      </c>
      <c r="AC48" s="1" t="s">
        <v>25</v>
      </c>
      <c r="AD48" s="1" t="s">
        <v>25</v>
      </c>
      <c r="AE48" s="1" t="s">
        <v>25</v>
      </c>
      <c r="AF48" s="1" t="s">
        <v>25</v>
      </c>
      <c r="AG48" s="1"/>
      <c r="AH48" s="4" t="str">
        <f t="shared" si="1"/>
        <v>NR</v>
      </c>
      <c r="AI48" s="1" t="s">
        <v>25</v>
      </c>
      <c r="AJ48" s="2" t="s">
        <v>455</v>
      </c>
      <c r="AK48" s="2"/>
    </row>
    <row r="49" spans="1:37" ht="24.95" customHeight="1" x14ac:dyDescent="0.25">
      <c r="A49" s="1" t="s">
        <v>456</v>
      </c>
      <c r="B49" s="1">
        <v>53</v>
      </c>
      <c r="C49" s="1" t="s">
        <v>277</v>
      </c>
      <c r="D49" s="6" t="s">
        <v>457</v>
      </c>
      <c r="E49" s="1">
        <v>2025</v>
      </c>
      <c r="F49" s="6" t="s">
        <v>458</v>
      </c>
      <c r="G49" s="2" t="s">
        <v>459</v>
      </c>
      <c r="H49" s="1" t="s">
        <v>460</v>
      </c>
      <c r="I49" s="1" t="s">
        <v>33</v>
      </c>
      <c r="J49" s="1" t="s">
        <v>282</v>
      </c>
      <c r="K49" s="1" t="s">
        <v>321</v>
      </c>
      <c r="L49" s="1" t="s">
        <v>322</v>
      </c>
      <c r="M49" s="1" t="s">
        <v>140</v>
      </c>
      <c r="N49" s="1" t="s">
        <v>323</v>
      </c>
      <c r="O49" s="2" t="s">
        <v>322</v>
      </c>
      <c r="P49" s="1" t="s">
        <v>37</v>
      </c>
      <c r="Q49" s="1" t="s">
        <v>333</v>
      </c>
      <c r="R49" s="1" t="s">
        <v>15</v>
      </c>
      <c r="S49" s="1" t="s">
        <v>39</v>
      </c>
      <c r="T49" s="3" t="str">
        <f t="shared" si="0"/>
        <v>Machine learning – Clasificación</v>
      </c>
      <c r="U49" s="1" t="s">
        <v>6</v>
      </c>
      <c r="V49" s="2" t="s">
        <v>424</v>
      </c>
      <c r="W49" s="1" t="s">
        <v>41</v>
      </c>
      <c r="X49" s="1" t="s">
        <v>42</v>
      </c>
      <c r="Y49" s="1" t="s">
        <v>20</v>
      </c>
      <c r="Z49" s="2" t="s">
        <v>21</v>
      </c>
      <c r="AA49" s="1" t="s">
        <v>22</v>
      </c>
      <c r="AB49" s="1" t="s">
        <v>20</v>
      </c>
      <c r="AC49" s="1" t="s">
        <v>25</v>
      </c>
      <c r="AD49" s="1" t="s">
        <v>25</v>
      </c>
      <c r="AE49" s="1" t="s">
        <v>25</v>
      </c>
      <c r="AF49" s="1" t="s">
        <v>25</v>
      </c>
      <c r="AG49" s="1"/>
      <c r="AH49" s="4" t="str">
        <f t="shared" si="1"/>
        <v>NR</v>
      </c>
      <c r="AI49" s="1" t="s">
        <v>25</v>
      </c>
      <c r="AJ49" s="2" t="s">
        <v>461</v>
      </c>
      <c r="AK49" s="2"/>
    </row>
    <row r="50" spans="1:37" ht="24.95" customHeight="1" x14ac:dyDescent="0.25">
      <c r="A50" s="1" t="s">
        <v>462</v>
      </c>
      <c r="B50" s="1">
        <v>54</v>
      </c>
      <c r="C50" s="1" t="s">
        <v>277</v>
      </c>
      <c r="D50" s="6" t="s">
        <v>25</v>
      </c>
      <c r="E50" s="1">
        <v>2024</v>
      </c>
      <c r="F50" s="6" t="s">
        <v>463</v>
      </c>
      <c r="G50" s="2" t="s">
        <v>464</v>
      </c>
      <c r="H50" s="1" t="s">
        <v>465</v>
      </c>
      <c r="I50" s="1" t="s">
        <v>33</v>
      </c>
      <c r="J50" s="1" t="s">
        <v>282</v>
      </c>
      <c r="K50" s="1" t="s">
        <v>138</v>
      </c>
      <c r="L50" s="1" t="s">
        <v>139</v>
      </c>
      <c r="M50" s="1" t="s">
        <v>140</v>
      </c>
      <c r="N50" s="1" t="s">
        <v>11</v>
      </c>
      <c r="O50" s="2" t="s">
        <v>466</v>
      </c>
      <c r="P50" s="1" t="s">
        <v>75</v>
      </c>
      <c r="Q50" s="1" t="s">
        <v>324</v>
      </c>
      <c r="R50" s="1" t="s">
        <v>15</v>
      </c>
      <c r="S50" s="1" t="s">
        <v>16</v>
      </c>
      <c r="T50" s="3" t="str">
        <f t="shared" si="0"/>
        <v>Autocorrelación espacial – Descriptivo</v>
      </c>
      <c r="U50" s="1" t="s">
        <v>25</v>
      </c>
      <c r="V50" s="2" t="s">
        <v>25</v>
      </c>
      <c r="W50" s="1" t="s">
        <v>41</v>
      </c>
      <c r="X50" s="1" t="s">
        <v>42</v>
      </c>
      <c r="Y50" s="1" t="s">
        <v>20</v>
      </c>
      <c r="Z50" s="2" t="s">
        <v>21</v>
      </c>
      <c r="AA50" s="1" t="s">
        <v>22</v>
      </c>
      <c r="AB50" s="1" t="s">
        <v>20</v>
      </c>
      <c r="AC50" s="1" t="s">
        <v>23</v>
      </c>
      <c r="AD50" s="1" t="s">
        <v>22</v>
      </c>
      <c r="AE50" s="1" t="s">
        <v>23</v>
      </c>
      <c r="AF50" s="1" t="s">
        <v>22</v>
      </c>
      <c r="AG50" s="1"/>
      <c r="AH50" s="4" t="str">
        <f t="shared" si="1"/>
        <v>No aplica</v>
      </c>
      <c r="AI50" s="1" t="s">
        <v>25</v>
      </c>
      <c r="AJ50" s="2" t="s">
        <v>467</v>
      </c>
      <c r="AK50" s="2"/>
    </row>
    <row r="51" spans="1:37" ht="24.95" customHeight="1" x14ac:dyDescent="0.25">
      <c r="A51" s="1" t="s">
        <v>468</v>
      </c>
      <c r="B51" s="1">
        <v>55</v>
      </c>
      <c r="C51" s="1" t="s">
        <v>277</v>
      </c>
      <c r="D51" s="6" t="s">
        <v>469</v>
      </c>
      <c r="E51" s="1">
        <v>2021</v>
      </c>
      <c r="F51" s="6" t="s">
        <v>397</v>
      </c>
      <c r="G51" s="2" t="s">
        <v>470</v>
      </c>
      <c r="H51" s="1" t="s">
        <v>471</v>
      </c>
      <c r="I51" s="1" t="s">
        <v>33</v>
      </c>
      <c r="J51" s="1" t="s">
        <v>282</v>
      </c>
      <c r="K51" s="1" t="s">
        <v>321</v>
      </c>
      <c r="L51" s="1" t="s">
        <v>322</v>
      </c>
      <c r="M51" s="1" t="s">
        <v>140</v>
      </c>
      <c r="N51" s="1" t="s">
        <v>323</v>
      </c>
      <c r="O51" s="2" t="s">
        <v>322</v>
      </c>
      <c r="P51" s="1" t="s">
        <v>6</v>
      </c>
      <c r="Q51" s="1" t="s">
        <v>472</v>
      </c>
      <c r="R51" s="1" t="s">
        <v>37</v>
      </c>
      <c r="S51" s="1" t="s">
        <v>39</v>
      </c>
      <c r="T51" s="3" t="str">
        <f t="shared" si="0"/>
        <v>Otra – Clasificación</v>
      </c>
      <c r="U51" s="1" t="s">
        <v>25</v>
      </c>
      <c r="V51" s="2" t="s">
        <v>25</v>
      </c>
      <c r="W51" s="1" t="s">
        <v>41</v>
      </c>
      <c r="X51" s="1" t="s">
        <v>42</v>
      </c>
      <c r="Y51" s="1" t="s">
        <v>20</v>
      </c>
      <c r="Z51" s="2" t="s">
        <v>21</v>
      </c>
      <c r="AA51" s="1" t="s">
        <v>22</v>
      </c>
      <c r="AB51" s="1" t="s">
        <v>20</v>
      </c>
      <c r="AC51" s="1" t="s">
        <v>25</v>
      </c>
      <c r="AD51" s="1" t="s">
        <v>25</v>
      </c>
      <c r="AE51" s="1" t="s">
        <v>25</v>
      </c>
      <c r="AF51" s="1" t="s">
        <v>25</v>
      </c>
      <c r="AG51" s="1"/>
      <c r="AH51" s="4" t="str">
        <f t="shared" si="1"/>
        <v>NR</v>
      </c>
      <c r="AI51" s="1" t="s">
        <v>25</v>
      </c>
      <c r="AJ51" s="2" t="s">
        <v>473</v>
      </c>
      <c r="AK51" s="2"/>
    </row>
    <row r="52" spans="1:37" ht="24.95" customHeight="1" x14ac:dyDescent="0.25">
      <c r="A52" s="1" t="s">
        <v>474</v>
      </c>
      <c r="B52" s="1">
        <v>56</v>
      </c>
      <c r="C52" s="1" t="s">
        <v>277</v>
      </c>
      <c r="D52" s="6" t="s">
        <v>25</v>
      </c>
      <c r="E52" s="1">
        <v>2025</v>
      </c>
      <c r="F52" s="6" t="s">
        <v>411</v>
      </c>
      <c r="G52" s="2" t="s">
        <v>475</v>
      </c>
      <c r="H52" s="1" t="s">
        <v>476</v>
      </c>
      <c r="I52" s="1" t="s">
        <v>33</v>
      </c>
      <c r="J52" s="1" t="s">
        <v>282</v>
      </c>
      <c r="K52" s="1" t="s">
        <v>25</v>
      </c>
      <c r="L52" s="1" t="s">
        <v>477</v>
      </c>
      <c r="M52" s="1" t="s">
        <v>25</v>
      </c>
      <c r="N52" s="1" t="s">
        <v>25</v>
      </c>
      <c r="O52" s="2" t="s">
        <v>477</v>
      </c>
      <c r="P52" s="1" t="s">
        <v>312</v>
      </c>
      <c r="Q52" s="1" t="s">
        <v>324</v>
      </c>
      <c r="R52" s="1" t="s">
        <v>75</v>
      </c>
      <c r="S52" s="1" t="s">
        <v>39</v>
      </c>
      <c r="T52" s="3" t="str">
        <f t="shared" si="0"/>
        <v>Clasificación y detección de cambios – Clasificación</v>
      </c>
      <c r="U52" s="1" t="s">
        <v>25</v>
      </c>
      <c r="V52" s="2" t="s">
        <v>25</v>
      </c>
      <c r="W52" s="1" t="s">
        <v>41</v>
      </c>
      <c r="X52" s="1" t="s">
        <v>42</v>
      </c>
      <c r="Y52" s="1" t="s">
        <v>20</v>
      </c>
      <c r="Z52" s="2" t="s">
        <v>21</v>
      </c>
      <c r="AA52" s="1" t="s">
        <v>22</v>
      </c>
      <c r="AB52" s="1" t="s">
        <v>20</v>
      </c>
      <c r="AC52" s="1" t="s">
        <v>25</v>
      </c>
      <c r="AD52" s="1" t="s">
        <v>25</v>
      </c>
      <c r="AE52" s="1" t="s">
        <v>25</v>
      </c>
      <c r="AF52" s="1" t="s">
        <v>25</v>
      </c>
      <c r="AG52" s="1"/>
      <c r="AH52" s="4" t="str">
        <f t="shared" si="1"/>
        <v>NR</v>
      </c>
      <c r="AI52" s="1" t="s">
        <v>25</v>
      </c>
      <c r="AJ52" s="2" t="s">
        <v>478</v>
      </c>
      <c r="AK52" s="2"/>
    </row>
    <row r="53" spans="1:37" ht="24.95" customHeight="1" x14ac:dyDescent="0.25">
      <c r="A53" s="1" t="s">
        <v>479</v>
      </c>
      <c r="B53" s="1">
        <v>57</v>
      </c>
      <c r="C53" s="1" t="s">
        <v>277</v>
      </c>
      <c r="D53" s="6" t="s">
        <v>480</v>
      </c>
      <c r="E53" s="1">
        <v>2023</v>
      </c>
      <c r="F53" s="6" t="s">
        <v>481</v>
      </c>
      <c r="G53" s="2" t="s">
        <v>482</v>
      </c>
      <c r="H53" s="1" t="s">
        <v>483</v>
      </c>
      <c r="I53" s="1" t="s">
        <v>33</v>
      </c>
      <c r="J53" s="1" t="s">
        <v>282</v>
      </c>
      <c r="K53" s="1" t="s">
        <v>25</v>
      </c>
      <c r="L53" s="1" t="s">
        <v>484</v>
      </c>
      <c r="M53" s="1" t="s">
        <v>25</v>
      </c>
      <c r="N53" s="1" t="s">
        <v>25</v>
      </c>
      <c r="O53" s="2" t="s">
        <v>484</v>
      </c>
      <c r="P53" s="1" t="s">
        <v>75</v>
      </c>
      <c r="Q53" s="1" t="s">
        <v>393</v>
      </c>
      <c r="R53" s="1" t="s">
        <v>15</v>
      </c>
      <c r="S53" s="1" t="s">
        <v>16</v>
      </c>
      <c r="T53" s="3" t="str">
        <f t="shared" si="0"/>
        <v>Autocorrelación espacial – Descriptivo</v>
      </c>
      <c r="U53" s="1" t="s">
        <v>287</v>
      </c>
      <c r="V53" s="2" t="s">
        <v>288</v>
      </c>
      <c r="W53" s="1" t="s">
        <v>41</v>
      </c>
      <c r="X53" s="1" t="s">
        <v>42</v>
      </c>
      <c r="Y53" s="1" t="s">
        <v>20</v>
      </c>
      <c r="Z53" s="2" t="s">
        <v>21</v>
      </c>
      <c r="AA53" s="1" t="s">
        <v>22</v>
      </c>
      <c r="AB53" s="1" t="s">
        <v>20</v>
      </c>
      <c r="AC53" s="1" t="s">
        <v>23</v>
      </c>
      <c r="AD53" s="1" t="s">
        <v>22</v>
      </c>
      <c r="AE53" s="1" t="s">
        <v>23</v>
      </c>
      <c r="AF53" s="1" t="s">
        <v>22</v>
      </c>
      <c r="AG53" s="1"/>
      <c r="AH53" s="4" t="str">
        <f t="shared" si="1"/>
        <v>No aplica</v>
      </c>
      <c r="AI53" s="1" t="s">
        <v>25</v>
      </c>
      <c r="AJ53" s="2" t="s">
        <v>485</v>
      </c>
      <c r="AK53" s="2"/>
    </row>
    <row r="54" spans="1:37" ht="24.95" customHeight="1" x14ac:dyDescent="0.25">
      <c r="A54" s="1" t="s">
        <v>486</v>
      </c>
      <c r="B54" s="1">
        <v>58</v>
      </c>
      <c r="C54" s="1" t="s">
        <v>277</v>
      </c>
      <c r="D54" s="6" t="s">
        <v>487</v>
      </c>
      <c r="E54" s="1">
        <v>2026</v>
      </c>
      <c r="F54" s="6" t="s">
        <v>405</v>
      </c>
      <c r="G54" s="2" t="s">
        <v>488</v>
      </c>
      <c r="H54" s="1" t="s">
        <v>489</v>
      </c>
      <c r="I54" s="1" t="s">
        <v>33</v>
      </c>
      <c r="J54" s="1" t="s">
        <v>282</v>
      </c>
      <c r="K54" s="1" t="s">
        <v>25</v>
      </c>
      <c r="L54" s="1" t="s">
        <v>490</v>
      </c>
      <c r="M54" s="1" t="s">
        <v>25</v>
      </c>
      <c r="N54" s="1" t="s">
        <v>25</v>
      </c>
      <c r="O54" s="2" t="s">
        <v>490</v>
      </c>
      <c r="P54" s="1" t="s">
        <v>75</v>
      </c>
      <c r="Q54" s="1" t="s">
        <v>286</v>
      </c>
      <c r="R54" s="1" t="s">
        <v>15</v>
      </c>
      <c r="S54" s="1" t="s">
        <v>16</v>
      </c>
      <c r="T54" s="3" t="str">
        <f t="shared" si="0"/>
        <v>Autocorrelación espacial – Descriptivo</v>
      </c>
      <c r="U54" s="1" t="s">
        <v>25</v>
      </c>
      <c r="V54" s="2" t="s">
        <v>25</v>
      </c>
      <c r="W54" s="1" t="s">
        <v>41</v>
      </c>
      <c r="X54" s="1" t="s">
        <v>42</v>
      </c>
      <c r="Y54" s="1" t="s">
        <v>20</v>
      </c>
      <c r="Z54" s="2" t="s">
        <v>21</v>
      </c>
      <c r="AA54" s="1" t="s">
        <v>22</v>
      </c>
      <c r="AB54" s="1" t="s">
        <v>20</v>
      </c>
      <c r="AC54" s="1" t="s">
        <v>23</v>
      </c>
      <c r="AD54" s="1" t="s">
        <v>22</v>
      </c>
      <c r="AE54" s="1" t="s">
        <v>23</v>
      </c>
      <c r="AF54" s="1" t="s">
        <v>22</v>
      </c>
      <c r="AG54" s="1"/>
      <c r="AH54" s="4" t="str">
        <f t="shared" si="1"/>
        <v>No aplica</v>
      </c>
      <c r="AI54" s="1" t="s">
        <v>25</v>
      </c>
      <c r="AJ54" s="2" t="s">
        <v>491</v>
      </c>
      <c r="AK54" s="2"/>
    </row>
    <row r="55" spans="1:37" ht="24.95" customHeight="1" x14ac:dyDescent="0.25">
      <c r="A55" s="1" t="s">
        <v>492</v>
      </c>
      <c r="B55" s="1">
        <v>59</v>
      </c>
      <c r="C55" s="1" t="s">
        <v>277</v>
      </c>
      <c r="D55" s="6" t="s">
        <v>493</v>
      </c>
      <c r="E55" s="1">
        <v>2022</v>
      </c>
      <c r="F55" s="6" t="s">
        <v>420</v>
      </c>
      <c r="G55" s="2" t="s">
        <v>494</v>
      </c>
      <c r="H55" s="1" t="s">
        <v>495</v>
      </c>
      <c r="I55" s="1" t="s">
        <v>33</v>
      </c>
      <c r="J55" s="1" t="s">
        <v>282</v>
      </c>
      <c r="K55" s="1" t="s">
        <v>496</v>
      </c>
      <c r="L55" s="1" t="s">
        <v>497</v>
      </c>
      <c r="M55" s="1" t="s">
        <v>285</v>
      </c>
      <c r="N55" s="1" t="s">
        <v>11</v>
      </c>
      <c r="O55" s="2" t="s">
        <v>497</v>
      </c>
      <c r="P55" s="1" t="s">
        <v>37</v>
      </c>
      <c r="Q55" s="1" t="s">
        <v>362</v>
      </c>
      <c r="R55" s="1" t="s">
        <v>15</v>
      </c>
      <c r="S55" s="1" t="s">
        <v>39</v>
      </c>
      <c r="T55" s="3" t="str">
        <f t="shared" si="0"/>
        <v>Machine learning – Clasificación</v>
      </c>
      <c r="U55" s="1" t="s">
        <v>448</v>
      </c>
      <c r="V55" s="2" t="s">
        <v>448</v>
      </c>
      <c r="W55" s="1" t="s">
        <v>41</v>
      </c>
      <c r="X55" s="1" t="s">
        <v>42</v>
      </c>
      <c r="Y55" s="1" t="s">
        <v>20</v>
      </c>
      <c r="Z55" s="2" t="s">
        <v>21</v>
      </c>
      <c r="AA55" s="1" t="s">
        <v>22</v>
      </c>
      <c r="AB55" s="1" t="s">
        <v>20</v>
      </c>
      <c r="AC55" s="1" t="s">
        <v>25</v>
      </c>
      <c r="AD55" s="1" t="s">
        <v>25</v>
      </c>
      <c r="AE55" s="1" t="s">
        <v>25</v>
      </c>
      <c r="AF55" s="1" t="s">
        <v>25</v>
      </c>
      <c r="AG55" s="1"/>
      <c r="AH55" s="4" t="str">
        <f t="shared" si="1"/>
        <v>NR</v>
      </c>
      <c r="AI55" s="1" t="s">
        <v>25</v>
      </c>
      <c r="AJ55" s="2" t="s">
        <v>498</v>
      </c>
      <c r="AK55" s="2"/>
    </row>
    <row r="56" spans="1:37" ht="24.95" customHeight="1" x14ac:dyDescent="0.25">
      <c r="A56" s="1" t="s">
        <v>499</v>
      </c>
      <c r="B56" s="1">
        <v>60</v>
      </c>
      <c r="C56" s="1" t="s">
        <v>277</v>
      </c>
      <c r="D56" s="6" t="s">
        <v>373</v>
      </c>
      <c r="E56" s="1">
        <v>2021</v>
      </c>
      <c r="F56" s="6" t="s">
        <v>420</v>
      </c>
      <c r="G56" s="2" t="s">
        <v>500</v>
      </c>
      <c r="H56" s="1" t="s">
        <v>501</v>
      </c>
      <c r="I56" s="1" t="s">
        <v>33</v>
      </c>
      <c r="J56" s="1" t="s">
        <v>282</v>
      </c>
      <c r="K56" s="1" t="s">
        <v>55</v>
      </c>
      <c r="L56" s="1" t="s">
        <v>445</v>
      </c>
      <c r="M56" s="1" t="s">
        <v>57</v>
      </c>
      <c r="N56" s="1" t="s">
        <v>11</v>
      </c>
      <c r="O56" s="2" t="s">
        <v>446</v>
      </c>
      <c r="P56" s="1" t="s">
        <v>312</v>
      </c>
      <c r="Q56" s="1" t="s">
        <v>380</v>
      </c>
      <c r="R56" s="1" t="s">
        <v>15</v>
      </c>
      <c r="S56" s="1" t="s">
        <v>39</v>
      </c>
      <c r="T56" s="3" t="str">
        <f t="shared" si="0"/>
        <v>Clasificación y detección de cambios – Clasificación</v>
      </c>
      <c r="U56" s="1" t="s">
        <v>448</v>
      </c>
      <c r="V56" s="2" t="s">
        <v>502</v>
      </c>
      <c r="W56" s="1" t="s">
        <v>41</v>
      </c>
      <c r="X56" s="1" t="s">
        <v>42</v>
      </c>
      <c r="Y56" s="1" t="s">
        <v>20</v>
      </c>
      <c r="Z56" s="2" t="s">
        <v>21</v>
      </c>
      <c r="AA56" s="1" t="s">
        <v>22</v>
      </c>
      <c r="AB56" s="1" t="s">
        <v>20</v>
      </c>
      <c r="AC56" s="1" t="s">
        <v>25</v>
      </c>
      <c r="AD56" s="1" t="s">
        <v>25</v>
      </c>
      <c r="AE56" s="1" t="s">
        <v>25</v>
      </c>
      <c r="AF56" s="1" t="s">
        <v>25</v>
      </c>
      <c r="AG56" s="1"/>
      <c r="AH56" s="4" t="str">
        <f t="shared" si="1"/>
        <v>NR</v>
      </c>
      <c r="AI56" s="1" t="s">
        <v>25</v>
      </c>
      <c r="AJ56" s="2" t="s">
        <v>503</v>
      </c>
      <c r="AK56" s="2"/>
    </row>
    <row r="57" spans="1:37" ht="24.95" customHeight="1" x14ac:dyDescent="0.25">
      <c r="A57" s="1" t="s">
        <v>504</v>
      </c>
      <c r="B57" s="1">
        <v>94</v>
      </c>
      <c r="C57" s="1" t="s">
        <v>505</v>
      </c>
      <c r="D57" s="6" t="s">
        <v>506</v>
      </c>
      <c r="E57" s="1">
        <v>2025</v>
      </c>
      <c r="F57" s="6" t="s">
        <v>307</v>
      </c>
      <c r="G57" s="2" t="s">
        <v>507</v>
      </c>
      <c r="H57" s="1" t="s">
        <v>508</v>
      </c>
      <c r="I57" s="1" t="s">
        <v>6</v>
      </c>
      <c r="J57" s="1" t="s">
        <v>509</v>
      </c>
      <c r="K57" s="1" t="s">
        <v>321</v>
      </c>
      <c r="L57" s="1" t="s">
        <v>322</v>
      </c>
      <c r="M57" s="1" t="s">
        <v>140</v>
      </c>
      <c r="N57" s="1" t="s">
        <v>323</v>
      </c>
      <c r="O57" s="2" t="s">
        <v>510</v>
      </c>
      <c r="P57" s="1" t="s">
        <v>73</v>
      </c>
      <c r="Q57" s="1" t="s">
        <v>74</v>
      </c>
      <c r="R57" s="1" t="s">
        <v>15</v>
      </c>
      <c r="S57" s="1" t="s">
        <v>76</v>
      </c>
      <c r="T57" s="3" t="str">
        <f t="shared" si="0"/>
        <v>Regresión espacial – Regresión</v>
      </c>
      <c r="U57" s="1" t="s">
        <v>25</v>
      </c>
      <c r="V57" s="2" t="s">
        <v>25</v>
      </c>
      <c r="W57" s="1" t="s">
        <v>41</v>
      </c>
      <c r="X57" s="1" t="s">
        <v>42</v>
      </c>
      <c r="Y57" s="1" t="s">
        <v>20</v>
      </c>
      <c r="Z57" s="2" t="s">
        <v>314</v>
      </c>
      <c r="AA57" s="1" t="s">
        <v>25</v>
      </c>
      <c r="AB57" s="1" t="s">
        <v>20</v>
      </c>
      <c r="AC57" s="1" t="s">
        <v>25</v>
      </c>
      <c r="AD57" s="1" t="s">
        <v>25</v>
      </c>
      <c r="AE57" s="1" t="s">
        <v>25</v>
      </c>
      <c r="AF57" s="1" t="s">
        <v>25</v>
      </c>
      <c r="AG57" s="1"/>
      <c r="AH57" s="4" t="str">
        <f t="shared" si="1"/>
        <v>NR</v>
      </c>
      <c r="AI57" s="1" t="s">
        <v>25</v>
      </c>
      <c r="AJ57" s="2" t="s">
        <v>511</v>
      </c>
      <c r="AK57" s="2"/>
    </row>
    <row r="58" spans="1:37" ht="24.95" customHeight="1" x14ac:dyDescent="0.25">
      <c r="A58" s="1" t="s">
        <v>512</v>
      </c>
      <c r="B58" s="1">
        <v>99</v>
      </c>
      <c r="C58" s="1" t="s">
        <v>505</v>
      </c>
      <c r="D58" s="6" t="s">
        <v>513</v>
      </c>
      <c r="E58" s="1">
        <v>2023</v>
      </c>
      <c r="F58" s="6" t="s">
        <v>374</v>
      </c>
      <c r="G58" s="2" t="s">
        <v>514</v>
      </c>
      <c r="H58" s="1" t="s">
        <v>515</v>
      </c>
      <c r="I58" s="1" t="s">
        <v>33</v>
      </c>
      <c r="J58" s="1" t="s">
        <v>509</v>
      </c>
      <c r="K58" s="1" t="s">
        <v>321</v>
      </c>
      <c r="L58" s="1" t="s">
        <v>322</v>
      </c>
      <c r="M58" s="1" t="s">
        <v>140</v>
      </c>
      <c r="N58" s="1" t="s">
        <v>323</v>
      </c>
      <c r="O58" s="2" t="s">
        <v>516</v>
      </c>
      <c r="P58" s="1" t="s">
        <v>312</v>
      </c>
      <c r="Q58" s="1" t="s">
        <v>324</v>
      </c>
      <c r="R58" s="1" t="s">
        <v>15</v>
      </c>
      <c r="S58" s="1" t="s">
        <v>39</v>
      </c>
      <c r="T58" s="3" t="str">
        <f t="shared" si="0"/>
        <v>Clasificación y detección de cambios – Clasificación</v>
      </c>
      <c r="U58" s="1" t="s">
        <v>6</v>
      </c>
      <c r="V58" s="2" t="s">
        <v>517</v>
      </c>
      <c r="W58" s="1" t="s">
        <v>41</v>
      </c>
      <c r="X58" s="1" t="s">
        <v>42</v>
      </c>
      <c r="Y58" s="1" t="s">
        <v>20</v>
      </c>
      <c r="Z58" s="2" t="s">
        <v>296</v>
      </c>
      <c r="AA58" s="1" t="s">
        <v>25</v>
      </c>
      <c r="AB58" s="1" t="s">
        <v>20</v>
      </c>
      <c r="AC58" s="1" t="s">
        <v>25</v>
      </c>
      <c r="AD58" s="1" t="s">
        <v>25</v>
      </c>
      <c r="AE58" s="1" t="s">
        <v>25</v>
      </c>
      <c r="AF58" s="1" t="s">
        <v>25</v>
      </c>
      <c r="AG58" s="1"/>
      <c r="AH58" s="4" t="str">
        <f t="shared" si="1"/>
        <v>NR</v>
      </c>
      <c r="AI58" s="1" t="s">
        <v>25</v>
      </c>
      <c r="AJ58" s="2" t="s">
        <v>518</v>
      </c>
      <c r="AK58" s="2"/>
    </row>
    <row r="59" spans="1:37" ht="24.95" customHeight="1" x14ac:dyDescent="0.25">
      <c r="A59" s="1" t="s">
        <v>519</v>
      </c>
      <c r="B59" s="1">
        <v>100</v>
      </c>
      <c r="C59" s="1" t="s">
        <v>505</v>
      </c>
      <c r="D59" s="6" t="s">
        <v>520</v>
      </c>
      <c r="E59" s="1">
        <v>2025</v>
      </c>
      <c r="F59" s="6" t="s">
        <v>349</v>
      </c>
      <c r="G59" s="2" t="s">
        <v>521</v>
      </c>
      <c r="H59" s="1" t="s">
        <v>522</v>
      </c>
      <c r="I59" s="1" t="s">
        <v>33</v>
      </c>
      <c r="J59" s="1" t="s">
        <v>509</v>
      </c>
      <c r="K59" s="1" t="s">
        <v>321</v>
      </c>
      <c r="L59" s="1" t="s">
        <v>322</v>
      </c>
      <c r="M59" s="1" t="s">
        <v>140</v>
      </c>
      <c r="N59" s="1" t="s">
        <v>323</v>
      </c>
      <c r="O59" s="2" t="s">
        <v>523</v>
      </c>
      <c r="P59" s="1" t="s">
        <v>312</v>
      </c>
      <c r="Q59" s="1" t="s">
        <v>324</v>
      </c>
      <c r="R59" s="1" t="s">
        <v>15</v>
      </c>
      <c r="S59" s="1" t="s">
        <v>39</v>
      </c>
      <c r="T59" s="3" t="str">
        <f t="shared" si="0"/>
        <v>Clasificación y detección de cambios – Clasificación</v>
      </c>
      <c r="U59" s="1" t="s">
        <v>6</v>
      </c>
      <c r="V59" s="2" t="s">
        <v>524</v>
      </c>
      <c r="W59" s="1" t="s">
        <v>41</v>
      </c>
      <c r="X59" s="1" t="s">
        <v>42</v>
      </c>
      <c r="Y59" s="1" t="s">
        <v>20</v>
      </c>
      <c r="Z59" s="2" t="s">
        <v>296</v>
      </c>
      <c r="AA59" s="1" t="s">
        <v>25</v>
      </c>
      <c r="AB59" s="1" t="s">
        <v>20</v>
      </c>
      <c r="AC59" s="1" t="s">
        <v>25</v>
      </c>
      <c r="AD59" s="1" t="s">
        <v>25</v>
      </c>
      <c r="AE59" s="1" t="s">
        <v>25</v>
      </c>
      <c r="AF59" s="1" t="s">
        <v>25</v>
      </c>
      <c r="AG59" s="1"/>
      <c r="AH59" s="4" t="str">
        <f t="shared" si="1"/>
        <v>NR</v>
      </c>
      <c r="AI59" s="1" t="s">
        <v>25</v>
      </c>
      <c r="AJ59" s="2" t="s">
        <v>525</v>
      </c>
      <c r="AK59" s="2"/>
    </row>
    <row r="60" spans="1:37" ht="24.95" customHeight="1" x14ac:dyDescent="0.25">
      <c r="A60" s="1" t="s">
        <v>526</v>
      </c>
      <c r="B60" s="1">
        <v>104</v>
      </c>
      <c r="C60" s="1" t="s">
        <v>505</v>
      </c>
      <c r="D60" s="6" t="s">
        <v>527</v>
      </c>
      <c r="E60" s="1">
        <v>2021</v>
      </c>
      <c r="F60" s="6" t="s">
        <v>349</v>
      </c>
      <c r="G60" s="2" t="s">
        <v>528</v>
      </c>
      <c r="H60" s="1" t="s">
        <v>529</v>
      </c>
      <c r="I60" s="1" t="s">
        <v>33</v>
      </c>
      <c r="J60" s="1" t="s">
        <v>509</v>
      </c>
      <c r="K60" s="1" t="s">
        <v>377</v>
      </c>
      <c r="L60" s="1" t="s">
        <v>378</v>
      </c>
      <c r="M60" s="1" t="s">
        <v>285</v>
      </c>
      <c r="N60" s="1" t="s">
        <v>11</v>
      </c>
      <c r="O60" s="2" t="s">
        <v>530</v>
      </c>
      <c r="P60" s="1" t="s">
        <v>75</v>
      </c>
      <c r="Q60" s="1" t="s">
        <v>286</v>
      </c>
      <c r="R60" s="1" t="s">
        <v>13</v>
      </c>
      <c r="S60" s="1" t="s">
        <v>39</v>
      </c>
      <c r="T60" s="3" t="str">
        <f t="shared" si="0"/>
        <v>Autocorrelación espacial – Clasificación</v>
      </c>
      <c r="U60" s="1" t="s">
        <v>531</v>
      </c>
      <c r="V60" s="2" t="s">
        <v>531</v>
      </c>
      <c r="W60" s="1" t="s">
        <v>286</v>
      </c>
      <c r="X60" s="1" t="s">
        <v>25</v>
      </c>
      <c r="Y60" s="1" t="s">
        <v>25</v>
      </c>
      <c r="Z60" s="2" t="s">
        <v>21</v>
      </c>
      <c r="AA60" s="1" t="s">
        <v>22</v>
      </c>
      <c r="AB60" s="1" t="s">
        <v>20</v>
      </c>
      <c r="AC60" s="1" t="s">
        <v>25</v>
      </c>
      <c r="AD60" s="1" t="s">
        <v>25</v>
      </c>
      <c r="AE60" s="1" t="s">
        <v>25</v>
      </c>
      <c r="AF60" s="1" t="s">
        <v>25</v>
      </c>
      <c r="AG60" s="1"/>
      <c r="AH60" s="4" t="str">
        <f t="shared" si="1"/>
        <v>NR</v>
      </c>
      <c r="AI60" s="1" t="s">
        <v>25</v>
      </c>
      <c r="AJ60" s="2" t="s">
        <v>532</v>
      </c>
      <c r="AK60" s="2" t="s">
        <v>533</v>
      </c>
    </row>
    <row r="61" spans="1:37" ht="24.95" customHeight="1" x14ac:dyDescent="0.25">
      <c r="A61" s="1" t="s">
        <v>534</v>
      </c>
      <c r="B61" s="1">
        <v>105</v>
      </c>
      <c r="C61" s="1" t="s">
        <v>505</v>
      </c>
      <c r="D61" s="6" t="s">
        <v>535</v>
      </c>
      <c r="E61" s="1">
        <v>2022</v>
      </c>
      <c r="F61" s="6" t="s">
        <v>384</v>
      </c>
      <c r="G61" s="2" t="s">
        <v>536</v>
      </c>
      <c r="H61" s="1" t="s">
        <v>537</v>
      </c>
      <c r="I61" s="1" t="s">
        <v>33</v>
      </c>
      <c r="J61" s="1" t="s">
        <v>509</v>
      </c>
      <c r="K61" s="1" t="s">
        <v>538</v>
      </c>
      <c r="L61" s="1" t="s">
        <v>539</v>
      </c>
      <c r="M61" s="1" t="s">
        <v>10</v>
      </c>
      <c r="N61" s="1" t="s">
        <v>11</v>
      </c>
      <c r="O61" s="2" t="s">
        <v>540</v>
      </c>
      <c r="P61" s="1" t="s">
        <v>312</v>
      </c>
      <c r="Q61" s="1" t="s">
        <v>447</v>
      </c>
      <c r="R61" s="1" t="s">
        <v>15</v>
      </c>
      <c r="S61" s="1" t="s">
        <v>39</v>
      </c>
      <c r="T61" s="3" t="str">
        <f t="shared" si="0"/>
        <v>Clasificación y detección de cambios – Clasificación</v>
      </c>
      <c r="U61" s="1" t="s">
        <v>325</v>
      </c>
      <c r="V61" s="2" t="s">
        <v>325</v>
      </c>
      <c r="W61" s="1" t="s">
        <v>41</v>
      </c>
      <c r="X61" s="1" t="s">
        <v>42</v>
      </c>
      <c r="Y61" s="1" t="s">
        <v>20</v>
      </c>
      <c r="Z61" s="2" t="s">
        <v>541</v>
      </c>
      <c r="AA61" s="1" t="s">
        <v>25</v>
      </c>
      <c r="AB61" s="1" t="s">
        <v>20</v>
      </c>
      <c r="AC61" s="1" t="s">
        <v>25</v>
      </c>
      <c r="AD61" s="1" t="s">
        <v>25</v>
      </c>
      <c r="AE61" s="1" t="s">
        <v>25</v>
      </c>
      <c r="AF61" s="1" t="s">
        <v>25</v>
      </c>
      <c r="AG61" s="1"/>
      <c r="AH61" s="4" t="str">
        <f t="shared" si="1"/>
        <v>NR</v>
      </c>
      <c r="AI61" s="1" t="s">
        <v>25</v>
      </c>
      <c r="AJ61" s="2" t="s">
        <v>542</v>
      </c>
      <c r="AK61" s="2"/>
    </row>
    <row r="62" spans="1:37" ht="24.95" customHeight="1" x14ac:dyDescent="0.25">
      <c r="A62" s="1" t="s">
        <v>543</v>
      </c>
      <c r="B62" s="1">
        <v>106</v>
      </c>
      <c r="C62" s="1" t="s">
        <v>505</v>
      </c>
      <c r="D62" s="6" t="s">
        <v>544</v>
      </c>
      <c r="E62" s="1">
        <v>2023</v>
      </c>
      <c r="F62" s="6" t="s">
        <v>545</v>
      </c>
      <c r="G62" s="2" t="s">
        <v>546</v>
      </c>
      <c r="H62" s="1" t="s">
        <v>547</v>
      </c>
      <c r="I62" s="1" t="s">
        <v>33</v>
      </c>
      <c r="J62" s="1" t="s">
        <v>509</v>
      </c>
      <c r="K62" s="1" t="s">
        <v>548</v>
      </c>
      <c r="L62" s="1" t="s">
        <v>549</v>
      </c>
      <c r="M62" s="1" t="s">
        <v>10</v>
      </c>
      <c r="N62" s="1" t="s">
        <v>11</v>
      </c>
      <c r="O62" s="2" t="s">
        <v>550</v>
      </c>
      <c r="P62" s="1" t="s">
        <v>37</v>
      </c>
      <c r="Q62" s="1" t="s">
        <v>551</v>
      </c>
      <c r="R62" s="1" t="s">
        <v>312</v>
      </c>
      <c r="S62" s="1" t="s">
        <v>76</v>
      </c>
      <c r="T62" s="3" t="str">
        <f t="shared" si="0"/>
        <v>Machine learning – Regresión</v>
      </c>
      <c r="U62" s="1" t="s">
        <v>325</v>
      </c>
      <c r="V62" s="2" t="s">
        <v>325</v>
      </c>
      <c r="W62" s="1" t="s">
        <v>41</v>
      </c>
      <c r="X62" s="1" t="s">
        <v>42</v>
      </c>
      <c r="Y62" s="1" t="s">
        <v>20</v>
      </c>
      <c r="Z62" s="2" t="s">
        <v>334</v>
      </c>
      <c r="AA62" s="1" t="s">
        <v>25</v>
      </c>
      <c r="AB62" s="1" t="s">
        <v>20</v>
      </c>
      <c r="AC62" s="1" t="s">
        <v>25</v>
      </c>
      <c r="AD62" s="1" t="s">
        <v>25</v>
      </c>
      <c r="AE62" s="1" t="s">
        <v>25</v>
      </c>
      <c r="AF62" s="1" t="s">
        <v>25</v>
      </c>
      <c r="AG62" s="1"/>
      <c r="AH62" s="4" t="str">
        <f t="shared" si="1"/>
        <v>NR</v>
      </c>
      <c r="AI62" s="1" t="s">
        <v>25</v>
      </c>
      <c r="AJ62" s="2" t="s">
        <v>552</v>
      </c>
      <c r="AK62" s="2"/>
    </row>
    <row r="63" spans="1:37" ht="24.95" customHeight="1" x14ac:dyDescent="0.25">
      <c r="A63" s="1" t="s">
        <v>553</v>
      </c>
      <c r="B63" s="1">
        <v>107</v>
      </c>
      <c r="C63" s="1" t="s">
        <v>505</v>
      </c>
      <c r="D63" s="6" t="s">
        <v>554</v>
      </c>
      <c r="E63" s="1">
        <v>2021</v>
      </c>
      <c r="F63" s="6" t="s">
        <v>555</v>
      </c>
      <c r="G63" s="2" t="s">
        <v>556</v>
      </c>
      <c r="H63" s="1" t="s">
        <v>557</v>
      </c>
      <c r="I63" s="1" t="s">
        <v>33</v>
      </c>
      <c r="J63" s="1" t="s">
        <v>509</v>
      </c>
      <c r="K63" s="1" t="s">
        <v>151</v>
      </c>
      <c r="L63" s="1" t="s">
        <v>152</v>
      </c>
      <c r="M63" s="1" t="s">
        <v>153</v>
      </c>
      <c r="N63" s="1" t="s">
        <v>11</v>
      </c>
      <c r="O63" s="2" t="s">
        <v>558</v>
      </c>
      <c r="P63" s="1" t="s">
        <v>37</v>
      </c>
      <c r="Q63" s="1" t="s">
        <v>333</v>
      </c>
      <c r="R63" s="1" t="s">
        <v>312</v>
      </c>
      <c r="S63" s="1" t="s">
        <v>39</v>
      </c>
      <c r="T63" s="3" t="str">
        <f t="shared" si="0"/>
        <v>Machine learning – Clasificación</v>
      </c>
      <c r="U63" s="1" t="s">
        <v>325</v>
      </c>
      <c r="V63" s="2" t="s">
        <v>325</v>
      </c>
      <c r="W63" s="1" t="s">
        <v>41</v>
      </c>
      <c r="X63" s="1" t="s">
        <v>42</v>
      </c>
      <c r="Y63" s="1" t="s">
        <v>20</v>
      </c>
      <c r="Z63" s="2" t="s">
        <v>559</v>
      </c>
      <c r="AA63" s="1" t="s">
        <v>560</v>
      </c>
      <c r="AB63" s="1" t="s">
        <v>20</v>
      </c>
      <c r="AC63" s="1" t="s">
        <v>25</v>
      </c>
      <c r="AD63" s="1" t="s">
        <v>25</v>
      </c>
      <c r="AE63" s="1" t="s">
        <v>25</v>
      </c>
      <c r="AF63" s="1" t="s">
        <v>25</v>
      </c>
      <c r="AG63" s="1"/>
      <c r="AH63" s="4" t="str">
        <f t="shared" si="1"/>
        <v>NR</v>
      </c>
      <c r="AI63" s="1" t="s">
        <v>25</v>
      </c>
      <c r="AJ63" s="2" t="s">
        <v>561</v>
      </c>
      <c r="AK63" s="2"/>
    </row>
    <row r="64" spans="1:37" ht="24.95" customHeight="1" x14ac:dyDescent="0.25">
      <c r="A64" s="1" t="s">
        <v>562</v>
      </c>
      <c r="B64" s="1">
        <v>111</v>
      </c>
      <c r="C64" s="1" t="s">
        <v>505</v>
      </c>
      <c r="D64" s="6" t="s">
        <v>563</v>
      </c>
      <c r="E64" s="1">
        <v>2023</v>
      </c>
      <c r="F64" s="6" t="s">
        <v>349</v>
      </c>
      <c r="G64" s="2" t="s">
        <v>564</v>
      </c>
      <c r="H64" s="1" t="s">
        <v>565</v>
      </c>
      <c r="I64" s="1" t="s">
        <v>33</v>
      </c>
      <c r="J64" s="1" t="s">
        <v>509</v>
      </c>
      <c r="K64" s="1" t="s">
        <v>151</v>
      </c>
      <c r="L64" s="1" t="s">
        <v>152</v>
      </c>
      <c r="M64" s="1" t="s">
        <v>153</v>
      </c>
      <c r="N64" s="1" t="s">
        <v>11</v>
      </c>
      <c r="O64" s="2" t="s">
        <v>566</v>
      </c>
      <c r="P64" s="1" t="s">
        <v>37</v>
      </c>
      <c r="Q64" s="1" t="s">
        <v>551</v>
      </c>
      <c r="R64" s="1" t="s">
        <v>312</v>
      </c>
      <c r="S64" s="1" t="s">
        <v>39</v>
      </c>
      <c r="T64" s="3" t="str">
        <f t="shared" si="0"/>
        <v>Machine learning – Clasificación</v>
      </c>
      <c r="U64" s="1" t="s">
        <v>448</v>
      </c>
      <c r="V64" s="2" t="s">
        <v>448</v>
      </c>
      <c r="W64" s="1" t="s">
        <v>41</v>
      </c>
      <c r="X64" s="1" t="s">
        <v>42</v>
      </c>
      <c r="Y64" s="1" t="s">
        <v>20</v>
      </c>
      <c r="Z64" s="2" t="s">
        <v>296</v>
      </c>
      <c r="AA64" s="1" t="s">
        <v>25</v>
      </c>
      <c r="AB64" s="1" t="s">
        <v>20</v>
      </c>
      <c r="AC64" s="1" t="s">
        <v>25</v>
      </c>
      <c r="AD64" s="1" t="s">
        <v>25</v>
      </c>
      <c r="AE64" s="1" t="s">
        <v>25</v>
      </c>
      <c r="AF64" s="1" t="s">
        <v>25</v>
      </c>
      <c r="AG64" s="1"/>
      <c r="AH64" s="4" t="str">
        <f t="shared" si="1"/>
        <v>NR</v>
      </c>
      <c r="AI64" s="1" t="s">
        <v>25</v>
      </c>
      <c r="AJ64" s="2" t="s">
        <v>567</v>
      </c>
      <c r="AK64" s="2"/>
    </row>
    <row r="65" spans="1:37" ht="24.95" customHeight="1" x14ac:dyDescent="0.25">
      <c r="A65" s="1" t="s">
        <v>568</v>
      </c>
      <c r="B65" s="1">
        <v>113</v>
      </c>
      <c r="C65" s="1" t="s">
        <v>505</v>
      </c>
      <c r="D65" s="6" t="s">
        <v>569</v>
      </c>
      <c r="E65" s="1">
        <v>2021</v>
      </c>
      <c r="F65" s="6" t="s">
        <v>570</v>
      </c>
      <c r="G65" s="2" t="s">
        <v>571</v>
      </c>
      <c r="H65" s="1" t="s">
        <v>572</v>
      </c>
      <c r="I65" s="1" t="s">
        <v>6</v>
      </c>
      <c r="J65" s="1" t="s">
        <v>509</v>
      </c>
      <c r="K65" s="1" t="s">
        <v>310</v>
      </c>
      <c r="L65" s="1" t="s">
        <v>311</v>
      </c>
      <c r="M65" s="1" t="s">
        <v>140</v>
      </c>
      <c r="N65" s="1" t="s">
        <v>11</v>
      </c>
      <c r="O65" s="2" t="s">
        <v>573</v>
      </c>
      <c r="P65" s="1" t="s">
        <v>312</v>
      </c>
      <c r="Q65" s="1" t="s">
        <v>574</v>
      </c>
      <c r="R65" s="1" t="s">
        <v>15</v>
      </c>
      <c r="S65" s="1" t="s">
        <v>39</v>
      </c>
      <c r="T65" s="3" t="str">
        <f t="shared" si="0"/>
        <v>Clasificación y detección de cambios – Clasificación</v>
      </c>
      <c r="U65" s="1" t="s">
        <v>6</v>
      </c>
      <c r="V65" s="2" t="s">
        <v>575</v>
      </c>
      <c r="W65" s="1" t="s">
        <v>41</v>
      </c>
      <c r="X65" s="1" t="s">
        <v>42</v>
      </c>
      <c r="Y65" s="1" t="s">
        <v>20</v>
      </c>
      <c r="Z65" s="2" t="s">
        <v>334</v>
      </c>
      <c r="AA65" s="1" t="s">
        <v>25</v>
      </c>
      <c r="AB65" s="1" t="s">
        <v>20</v>
      </c>
      <c r="AC65" s="1" t="s">
        <v>25</v>
      </c>
      <c r="AD65" s="1" t="s">
        <v>25</v>
      </c>
      <c r="AE65" s="1" t="s">
        <v>25</v>
      </c>
      <c r="AF65" s="1" t="s">
        <v>25</v>
      </c>
      <c r="AG65" s="1"/>
      <c r="AH65" s="4" t="str">
        <f t="shared" si="1"/>
        <v>NR</v>
      </c>
      <c r="AI65" s="1" t="s">
        <v>25</v>
      </c>
      <c r="AJ65" s="2" t="s">
        <v>576</v>
      </c>
      <c r="AK65" s="2"/>
    </row>
    <row r="66" spans="1:37" ht="24.95" customHeight="1" x14ac:dyDescent="0.25">
      <c r="A66" s="1" t="s">
        <v>577</v>
      </c>
      <c r="B66" s="1">
        <v>117</v>
      </c>
      <c r="C66" s="1" t="s">
        <v>505</v>
      </c>
      <c r="D66" s="6" t="s">
        <v>197</v>
      </c>
      <c r="E66" s="1">
        <v>2021</v>
      </c>
      <c r="F66" s="6" t="s">
        <v>578</v>
      </c>
      <c r="G66" s="2" t="s">
        <v>579</v>
      </c>
      <c r="H66" s="1" t="s">
        <v>580</v>
      </c>
      <c r="I66" s="1" t="s">
        <v>6</v>
      </c>
      <c r="J66" s="1" t="s">
        <v>509</v>
      </c>
      <c r="K66" s="1" t="s">
        <v>581</v>
      </c>
      <c r="L66" s="1" t="s">
        <v>582</v>
      </c>
      <c r="M66" s="1" t="s">
        <v>71</v>
      </c>
      <c r="N66" s="1" t="s">
        <v>11</v>
      </c>
      <c r="O66" s="2" t="s">
        <v>583</v>
      </c>
      <c r="P66" s="1" t="s">
        <v>312</v>
      </c>
      <c r="Q66" s="1" t="s">
        <v>584</v>
      </c>
      <c r="R66" s="1" t="s">
        <v>15</v>
      </c>
      <c r="S66" s="1" t="s">
        <v>39</v>
      </c>
      <c r="T66" s="3" t="str">
        <f t="shared" si="0"/>
        <v>Clasificación y detección de cambios – Clasificación</v>
      </c>
      <c r="U66" s="1" t="s">
        <v>448</v>
      </c>
      <c r="V66" s="2" t="s">
        <v>448</v>
      </c>
      <c r="W66" s="1" t="s">
        <v>41</v>
      </c>
      <c r="X66" s="1" t="s">
        <v>42</v>
      </c>
      <c r="Y66" s="1" t="s">
        <v>20</v>
      </c>
      <c r="Z66" s="2" t="s">
        <v>204</v>
      </c>
      <c r="AA66" s="1" t="s">
        <v>25</v>
      </c>
      <c r="AB66" s="1" t="s">
        <v>20</v>
      </c>
      <c r="AC66" s="1" t="s">
        <v>25</v>
      </c>
      <c r="AD66" s="1" t="s">
        <v>25</v>
      </c>
      <c r="AE66" s="1" t="s">
        <v>25</v>
      </c>
      <c r="AF66" s="1" t="s">
        <v>25</v>
      </c>
      <c r="AG66" s="1"/>
      <c r="AH66" s="4" t="str">
        <f t="shared" si="1"/>
        <v>NR</v>
      </c>
      <c r="AI66" s="1" t="s">
        <v>25</v>
      </c>
      <c r="AJ66" s="2" t="s">
        <v>585</v>
      </c>
      <c r="AK66" s="2"/>
    </row>
    <row r="67" spans="1:37" ht="24.95" customHeight="1" x14ac:dyDescent="0.25">
      <c r="A67" s="1" t="s">
        <v>586</v>
      </c>
      <c r="B67" s="1">
        <v>118</v>
      </c>
      <c r="C67" s="1" t="s">
        <v>505</v>
      </c>
      <c r="D67" s="6" t="s">
        <v>587</v>
      </c>
      <c r="E67" s="1">
        <v>2023</v>
      </c>
      <c r="F67" s="6" t="s">
        <v>254</v>
      </c>
      <c r="G67" s="2" t="s">
        <v>588</v>
      </c>
      <c r="H67" s="1" t="s">
        <v>589</v>
      </c>
      <c r="I67" s="1" t="s">
        <v>68</v>
      </c>
      <c r="J67" s="1" t="s">
        <v>509</v>
      </c>
      <c r="K67" s="1" t="s">
        <v>548</v>
      </c>
      <c r="L67" s="1" t="s">
        <v>549</v>
      </c>
      <c r="M67" s="1" t="s">
        <v>10</v>
      </c>
      <c r="N67" s="1" t="s">
        <v>11</v>
      </c>
      <c r="O67" s="2" t="s">
        <v>590</v>
      </c>
      <c r="P67" s="1" t="s">
        <v>37</v>
      </c>
      <c r="Q67" s="1" t="s">
        <v>362</v>
      </c>
      <c r="R67" s="1" t="s">
        <v>312</v>
      </c>
      <c r="S67" s="1" t="s">
        <v>39</v>
      </c>
      <c r="T67" s="3" t="str">
        <f t="shared" ref="T67:T98" si="2">IF(OR(P67="",S67="NR"),"NR",P67&amp;" – "&amp;S67)</f>
        <v>Machine learning – Clasificación</v>
      </c>
      <c r="U67" s="1" t="s">
        <v>448</v>
      </c>
      <c r="V67" s="2" t="s">
        <v>448</v>
      </c>
      <c r="W67" s="1" t="s">
        <v>41</v>
      </c>
      <c r="X67" s="1" t="s">
        <v>42</v>
      </c>
      <c r="Y67" s="1" t="s">
        <v>20</v>
      </c>
      <c r="Z67" s="2" t="s">
        <v>334</v>
      </c>
      <c r="AA67" s="1" t="s">
        <v>25</v>
      </c>
      <c r="AB67" s="1" t="s">
        <v>20</v>
      </c>
      <c r="AC67" s="1" t="s">
        <v>25</v>
      </c>
      <c r="AD67" s="1" t="s">
        <v>25</v>
      </c>
      <c r="AE67" s="1" t="s">
        <v>591</v>
      </c>
      <c r="AF67" s="1">
        <v>0.94099999999999995</v>
      </c>
      <c r="AG67" s="1"/>
      <c r="AH67" s="4" t="str">
        <f t="shared" ref="AH67:AH98" si="3">IF(NOT(ISNUMBER(AF67)),IF(LEFT(AE67,9)="No aplica","No aplica","NR"),IF(AE67="AUC",IF(AF67&lt;0.7,"Bajo",IF(AF67&lt;0.8,"Aceptable",IF(AF67&lt;0.9,"Bueno","Excelente"))),IF(AE67="Kappa",IF(AF67&lt;=0.4,"Débil",IF(AF67&lt;=0.6,"Moderado",IF(AF67&lt;=0.8,"Sustancial","Casi perfecto"))),IF(AE67="Exactitud global",IF(AF67&lt;0.85,"Bajo el umbral","Cumple el umbral"),IF(OR(AE67="R²",AE67="F1"),IF(AF67&lt;0.5,"Bajo",IF(AF67&lt;0.7,"Moderado","Alto")),"Sin rango")))))</f>
        <v>Casi perfecto</v>
      </c>
      <c r="AI67" s="1" t="s">
        <v>25</v>
      </c>
      <c r="AJ67" s="2" t="s">
        <v>592</v>
      </c>
      <c r="AK67" s="2"/>
    </row>
    <row r="68" spans="1:37" ht="24.95" customHeight="1" x14ac:dyDescent="0.25">
      <c r="A68" s="1" t="s">
        <v>593</v>
      </c>
      <c r="B68" s="1">
        <v>119</v>
      </c>
      <c r="C68" s="1" t="s">
        <v>505</v>
      </c>
      <c r="D68" s="6" t="s">
        <v>594</v>
      </c>
      <c r="E68" s="1">
        <v>2021</v>
      </c>
      <c r="F68" s="6" t="s">
        <v>595</v>
      </c>
      <c r="G68" s="2" t="s">
        <v>596</v>
      </c>
      <c r="H68" s="1" t="s">
        <v>597</v>
      </c>
      <c r="I68" s="1" t="s">
        <v>6</v>
      </c>
      <c r="J68" s="1" t="s">
        <v>509</v>
      </c>
      <c r="K68" s="1" t="s">
        <v>321</v>
      </c>
      <c r="L68" s="1" t="s">
        <v>322</v>
      </c>
      <c r="M68" s="1" t="s">
        <v>140</v>
      </c>
      <c r="N68" s="1" t="s">
        <v>323</v>
      </c>
      <c r="O68" s="2" t="s">
        <v>598</v>
      </c>
      <c r="P68" s="1" t="s">
        <v>312</v>
      </c>
      <c r="Q68" s="1" t="s">
        <v>324</v>
      </c>
      <c r="R68" s="1" t="s">
        <v>15</v>
      </c>
      <c r="S68" s="1" t="s">
        <v>39</v>
      </c>
      <c r="T68" s="3" t="str">
        <f t="shared" si="2"/>
        <v>Clasificación y detección de cambios – Clasificación</v>
      </c>
      <c r="U68" s="1" t="s">
        <v>325</v>
      </c>
      <c r="V68" s="2" t="s">
        <v>325</v>
      </c>
      <c r="W68" s="1" t="s">
        <v>41</v>
      </c>
      <c r="X68" s="1" t="s">
        <v>42</v>
      </c>
      <c r="Y68" s="1" t="s">
        <v>20</v>
      </c>
      <c r="Z68" s="2" t="s">
        <v>541</v>
      </c>
      <c r="AA68" s="1" t="s">
        <v>25</v>
      </c>
      <c r="AB68" s="1" t="s">
        <v>20</v>
      </c>
      <c r="AC68" s="1" t="s">
        <v>25</v>
      </c>
      <c r="AD68" s="1" t="s">
        <v>25</v>
      </c>
      <c r="AE68" s="1" t="s">
        <v>25</v>
      </c>
      <c r="AF68" s="1" t="s">
        <v>25</v>
      </c>
      <c r="AG68" s="1"/>
      <c r="AH68" s="4" t="str">
        <f t="shared" si="3"/>
        <v>NR</v>
      </c>
      <c r="AI68" s="1" t="s">
        <v>25</v>
      </c>
      <c r="AJ68" s="2" t="s">
        <v>599</v>
      </c>
      <c r="AK68" s="2" t="s">
        <v>600</v>
      </c>
    </row>
    <row r="69" spans="1:37" ht="24.95" customHeight="1" x14ac:dyDescent="0.25">
      <c r="A69" s="1" t="s">
        <v>601</v>
      </c>
      <c r="B69" s="1">
        <v>120</v>
      </c>
      <c r="C69" s="1" t="s">
        <v>505</v>
      </c>
      <c r="D69" s="6" t="s">
        <v>602</v>
      </c>
      <c r="E69" s="1">
        <v>2021</v>
      </c>
      <c r="F69" s="6" t="s">
        <v>167</v>
      </c>
      <c r="G69" s="2" t="s">
        <v>603</v>
      </c>
      <c r="H69" s="1" t="s">
        <v>604</v>
      </c>
      <c r="I69" s="1" t="s">
        <v>170</v>
      </c>
      <c r="J69" s="1" t="s">
        <v>509</v>
      </c>
      <c r="K69" s="1" t="s">
        <v>538</v>
      </c>
      <c r="L69" s="1" t="s">
        <v>539</v>
      </c>
      <c r="M69" s="1" t="s">
        <v>10</v>
      </c>
      <c r="N69" s="1" t="s">
        <v>11</v>
      </c>
      <c r="O69" s="2" t="s">
        <v>605</v>
      </c>
      <c r="P69" s="1" t="s">
        <v>312</v>
      </c>
      <c r="Q69" s="1" t="s">
        <v>447</v>
      </c>
      <c r="R69" s="1" t="s">
        <v>15</v>
      </c>
      <c r="S69" s="1" t="s">
        <v>39</v>
      </c>
      <c r="T69" s="3" t="str">
        <f t="shared" si="2"/>
        <v>Clasificación y detección de cambios – Clasificación</v>
      </c>
      <c r="U69" s="1" t="s">
        <v>325</v>
      </c>
      <c r="V69" s="2" t="s">
        <v>325</v>
      </c>
      <c r="W69" s="1" t="s">
        <v>41</v>
      </c>
      <c r="X69" s="1" t="s">
        <v>42</v>
      </c>
      <c r="Y69" s="1" t="s">
        <v>20</v>
      </c>
      <c r="Z69" s="2" t="s">
        <v>204</v>
      </c>
      <c r="AA69" s="1" t="s">
        <v>25</v>
      </c>
      <c r="AB69" s="1" t="s">
        <v>20</v>
      </c>
      <c r="AC69" s="1" t="s">
        <v>25</v>
      </c>
      <c r="AD69" s="1" t="s">
        <v>25</v>
      </c>
      <c r="AE69" s="1" t="s">
        <v>25</v>
      </c>
      <c r="AF69" s="1" t="s">
        <v>25</v>
      </c>
      <c r="AG69" s="1"/>
      <c r="AH69" s="4" t="str">
        <f t="shared" si="3"/>
        <v>NR</v>
      </c>
      <c r="AI69" s="1" t="s">
        <v>25</v>
      </c>
      <c r="AJ69" s="2" t="s">
        <v>606</v>
      </c>
      <c r="AK69" s="2"/>
    </row>
    <row r="70" spans="1:37" ht="24.95" customHeight="1" x14ac:dyDescent="0.25">
      <c r="A70" s="1" t="s">
        <v>607</v>
      </c>
      <c r="B70" s="1">
        <v>121</v>
      </c>
      <c r="C70" s="1" t="s">
        <v>505</v>
      </c>
      <c r="D70" s="6" t="s">
        <v>608</v>
      </c>
      <c r="E70" s="1">
        <v>2021</v>
      </c>
      <c r="F70" s="6" t="s">
        <v>198</v>
      </c>
      <c r="G70" s="2" t="s">
        <v>609</v>
      </c>
      <c r="H70" s="1" t="s">
        <v>610</v>
      </c>
      <c r="I70" s="1" t="s">
        <v>100</v>
      </c>
      <c r="J70" s="1" t="s">
        <v>509</v>
      </c>
      <c r="K70" s="1" t="s">
        <v>611</v>
      </c>
      <c r="L70" s="1" t="s">
        <v>612</v>
      </c>
      <c r="M70" s="1" t="s">
        <v>10</v>
      </c>
      <c r="N70" s="1" t="s">
        <v>11</v>
      </c>
      <c r="O70" s="2" t="s">
        <v>613</v>
      </c>
      <c r="P70" s="1" t="s">
        <v>312</v>
      </c>
      <c r="Q70" s="1" t="s">
        <v>447</v>
      </c>
      <c r="R70" s="1" t="s">
        <v>15</v>
      </c>
      <c r="S70" s="1" t="s">
        <v>39</v>
      </c>
      <c r="T70" s="3" t="str">
        <f t="shared" si="2"/>
        <v>Clasificación y detección de cambios – Clasificación</v>
      </c>
      <c r="U70" s="1" t="s">
        <v>325</v>
      </c>
      <c r="V70" s="2" t="s">
        <v>325</v>
      </c>
      <c r="W70" s="1" t="s">
        <v>41</v>
      </c>
      <c r="X70" s="1" t="s">
        <v>42</v>
      </c>
      <c r="Y70" s="1" t="s">
        <v>20</v>
      </c>
      <c r="Z70" s="2" t="s">
        <v>334</v>
      </c>
      <c r="AA70" s="1" t="s">
        <v>25</v>
      </c>
      <c r="AB70" s="1" t="s">
        <v>20</v>
      </c>
      <c r="AC70" s="1" t="s">
        <v>25</v>
      </c>
      <c r="AD70" s="1" t="s">
        <v>25</v>
      </c>
      <c r="AE70" s="1" t="s">
        <v>25</v>
      </c>
      <c r="AF70" s="1" t="s">
        <v>25</v>
      </c>
      <c r="AG70" s="1"/>
      <c r="AH70" s="4" t="str">
        <f t="shared" si="3"/>
        <v>NR</v>
      </c>
      <c r="AI70" s="1" t="s">
        <v>25</v>
      </c>
      <c r="AJ70" s="2" t="s">
        <v>614</v>
      </c>
      <c r="AK70" s="2"/>
    </row>
    <row r="71" spans="1:37" ht="24.95" customHeight="1" x14ac:dyDescent="0.25">
      <c r="A71" s="1" t="s">
        <v>615</v>
      </c>
      <c r="B71" s="1">
        <v>122</v>
      </c>
      <c r="C71" s="1" t="s">
        <v>505</v>
      </c>
      <c r="D71" s="6" t="s">
        <v>616</v>
      </c>
      <c r="E71" s="1">
        <v>2023</v>
      </c>
      <c r="F71" s="6" t="s">
        <v>617</v>
      </c>
      <c r="G71" s="2" t="s">
        <v>618</v>
      </c>
      <c r="H71" s="1" t="s">
        <v>619</v>
      </c>
      <c r="I71" s="1" t="s">
        <v>6</v>
      </c>
      <c r="J71" s="1" t="s">
        <v>509</v>
      </c>
      <c r="K71" s="1" t="s">
        <v>360</v>
      </c>
      <c r="L71" s="1" t="s">
        <v>361</v>
      </c>
      <c r="M71" s="1" t="s">
        <v>10</v>
      </c>
      <c r="N71" s="1" t="s">
        <v>11</v>
      </c>
      <c r="O71" s="2" t="s">
        <v>620</v>
      </c>
      <c r="P71" s="1" t="s">
        <v>312</v>
      </c>
      <c r="Q71" s="1" t="s">
        <v>324</v>
      </c>
      <c r="R71" s="1" t="s">
        <v>15</v>
      </c>
      <c r="S71" s="1" t="s">
        <v>39</v>
      </c>
      <c r="T71" s="3" t="str">
        <f t="shared" si="2"/>
        <v>Clasificación y detección de cambios – Clasificación</v>
      </c>
      <c r="U71" s="1" t="s">
        <v>325</v>
      </c>
      <c r="V71" s="2" t="s">
        <v>325</v>
      </c>
      <c r="W71" s="1" t="s">
        <v>41</v>
      </c>
      <c r="X71" s="1" t="s">
        <v>42</v>
      </c>
      <c r="Y71" s="1" t="s">
        <v>20</v>
      </c>
      <c r="Z71" s="2" t="s">
        <v>334</v>
      </c>
      <c r="AA71" s="1" t="s">
        <v>25</v>
      </c>
      <c r="AB71" s="1" t="s">
        <v>20</v>
      </c>
      <c r="AC71" s="1" t="s">
        <v>25</v>
      </c>
      <c r="AD71" s="1" t="s">
        <v>25</v>
      </c>
      <c r="AE71" s="1" t="s">
        <v>25</v>
      </c>
      <c r="AF71" s="1" t="s">
        <v>25</v>
      </c>
      <c r="AG71" s="1"/>
      <c r="AH71" s="4" t="str">
        <f t="shared" si="3"/>
        <v>NR</v>
      </c>
      <c r="AI71" s="1" t="s">
        <v>25</v>
      </c>
      <c r="AJ71" s="2" t="s">
        <v>621</v>
      </c>
      <c r="AK71" s="2"/>
    </row>
    <row r="72" spans="1:37" ht="24.95" customHeight="1" x14ac:dyDescent="0.25">
      <c r="A72" s="1" t="s">
        <v>622</v>
      </c>
      <c r="B72" s="1">
        <v>123</v>
      </c>
      <c r="C72" s="1" t="s">
        <v>505</v>
      </c>
      <c r="D72" s="6" t="s">
        <v>623</v>
      </c>
      <c r="E72" s="1">
        <v>2024</v>
      </c>
      <c r="F72" s="6" t="s">
        <v>624</v>
      </c>
      <c r="G72" s="2" t="s">
        <v>625</v>
      </c>
      <c r="H72" s="1" t="s">
        <v>626</v>
      </c>
      <c r="I72" s="1" t="s">
        <v>137</v>
      </c>
      <c r="J72" s="1" t="s">
        <v>509</v>
      </c>
      <c r="K72" s="1" t="s">
        <v>321</v>
      </c>
      <c r="L72" s="1" t="s">
        <v>322</v>
      </c>
      <c r="M72" s="1" t="s">
        <v>140</v>
      </c>
      <c r="N72" s="1" t="s">
        <v>323</v>
      </c>
      <c r="O72" s="2" t="s">
        <v>627</v>
      </c>
      <c r="P72" s="1" t="s">
        <v>312</v>
      </c>
      <c r="Q72" s="1" t="s">
        <v>324</v>
      </c>
      <c r="R72" s="1" t="s">
        <v>15</v>
      </c>
      <c r="S72" s="1" t="s">
        <v>39</v>
      </c>
      <c r="T72" s="3" t="str">
        <f t="shared" si="2"/>
        <v>Clasificación y detección de cambios – Clasificación</v>
      </c>
      <c r="U72" s="1" t="s">
        <v>325</v>
      </c>
      <c r="V72" s="2" t="s">
        <v>325</v>
      </c>
      <c r="W72" s="1" t="s">
        <v>41</v>
      </c>
      <c r="X72" s="1" t="s">
        <v>42</v>
      </c>
      <c r="Y72" s="1" t="s">
        <v>20</v>
      </c>
      <c r="Z72" s="2" t="s">
        <v>334</v>
      </c>
      <c r="AA72" s="1" t="s">
        <v>25</v>
      </c>
      <c r="AB72" s="1" t="s">
        <v>20</v>
      </c>
      <c r="AC72" s="1" t="s">
        <v>25</v>
      </c>
      <c r="AD72" s="1" t="s">
        <v>25</v>
      </c>
      <c r="AE72" s="1" t="s">
        <v>83</v>
      </c>
      <c r="AF72" s="1">
        <v>0.97040000000000004</v>
      </c>
      <c r="AG72" s="1"/>
      <c r="AH72" s="4" t="str">
        <f t="shared" si="3"/>
        <v>Alto</v>
      </c>
      <c r="AI72" s="1" t="s">
        <v>25</v>
      </c>
      <c r="AJ72" s="2" t="s">
        <v>628</v>
      </c>
      <c r="AK72" s="2"/>
    </row>
    <row r="73" spans="1:37" ht="24.95" customHeight="1" x14ac:dyDescent="0.25">
      <c r="A73" s="1" t="s">
        <v>629</v>
      </c>
      <c r="B73" s="1">
        <v>1</v>
      </c>
      <c r="C73" s="1" t="s">
        <v>630</v>
      </c>
      <c r="D73" s="6" t="s">
        <v>631</v>
      </c>
      <c r="E73" s="1">
        <v>2023</v>
      </c>
      <c r="F73" s="6" t="s">
        <v>632</v>
      </c>
      <c r="G73" s="2" t="s">
        <v>633</v>
      </c>
      <c r="H73" s="1" t="s">
        <v>634</v>
      </c>
      <c r="I73" s="1" t="s">
        <v>100</v>
      </c>
      <c r="J73" s="1" t="s">
        <v>635</v>
      </c>
      <c r="K73" s="1" t="s">
        <v>360</v>
      </c>
      <c r="L73" s="1" t="s">
        <v>361</v>
      </c>
      <c r="M73" s="1" t="s">
        <v>10</v>
      </c>
      <c r="N73" s="1" t="s">
        <v>11</v>
      </c>
      <c r="O73" s="2" t="s">
        <v>636</v>
      </c>
      <c r="P73" s="1" t="s">
        <v>637</v>
      </c>
      <c r="Q73" s="1" t="s">
        <v>638</v>
      </c>
      <c r="R73" s="1" t="s">
        <v>15</v>
      </c>
      <c r="S73" s="1" t="s">
        <v>39</v>
      </c>
      <c r="T73" s="3" t="str">
        <f t="shared" si="2"/>
        <v>SIG multicriterio – Clasificación</v>
      </c>
      <c r="U73" s="1" t="s">
        <v>6</v>
      </c>
      <c r="V73" s="2" t="s">
        <v>25</v>
      </c>
      <c r="W73" s="1" t="s">
        <v>41</v>
      </c>
      <c r="X73" s="1" t="s">
        <v>42</v>
      </c>
      <c r="Y73" s="1" t="s">
        <v>20</v>
      </c>
      <c r="Z73" s="2" t="s">
        <v>25</v>
      </c>
      <c r="AA73" s="1" t="s">
        <v>25</v>
      </c>
      <c r="AB73" s="1" t="s">
        <v>25</v>
      </c>
      <c r="AC73" s="1" t="s">
        <v>25</v>
      </c>
      <c r="AD73" s="1" t="s">
        <v>25</v>
      </c>
      <c r="AE73" s="1" t="s">
        <v>639</v>
      </c>
      <c r="AF73" s="1">
        <v>0.79900000000000004</v>
      </c>
      <c r="AG73" s="1"/>
      <c r="AH73" s="4" t="str">
        <f t="shared" si="3"/>
        <v>Aceptable</v>
      </c>
      <c r="AI73" s="1" t="s">
        <v>25</v>
      </c>
      <c r="AJ73" s="2" t="s">
        <v>640</v>
      </c>
      <c r="AK73" s="2"/>
    </row>
    <row r="74" spans="1:37" ht="24.95" customHeight="1" x14ac:dyDescent="0.25">
      <c r="A74" s="1" t="s">
        <v>641</v>
      </c>
      <c r="B74" s="1">
        <v>2</v>
      </c>
      <c r="C74" s="1" t="s">
        <v>630</v>
      </c>
      <c r="D74" s="6" t="s">
        <v>642</v>
      </c>
      <c r="E74" s="1">
        <v>2024</v>
      </c>
      <c r="F74" s="6" t="s">
        <v>411</v>
      </c>
      <c r="G74" s="2" t="s">
        <v>643</v>
      </c>
      <c r="H74" s="1" t="s">
        <v>644</v>
      </c>
      <c r="I74" s="1" t="s">
        <v>33</v>
      </c>
      <c r="J74" s="1" t="s">
        <v>635</v>
      </c>
      <c r="K74" s="1" t="s">
        <v>360</v>
      </c>
      <c r="L74" s="1" t="s">
        <v>361</v>
      </c>
      <c r="M74" s="1" t="s">
        <v>10</v>
      </c>
      <c r="N74" s="1" t="s">
        <v>11</v>
      </c>
      <c r="O74" s="2" t="s">
        <v>645</v>
      </c>
      <c r="P74" s="1" t="s">
        <v>37</v>
      </c>
      <c r="Q74" s="1" t="s">
        <v>362</v>
      </c>
      <c r="R74" s="1" t="s">
        <v>13</v>
      </c>
      <c r="S74" s="1" t="s">
        <v>39</v>
      </c>
      <c r="T74" s="3" t="str">
        <f t="shared" si="2"/>
        <v>Machine learning – Clasificación</v>
      </c>
      <c r="U74" s="1" t="s">
        <v>531</v>
      </c>
      <c r="V74" s="2" t="s">
        <v>531</v>
      </c>
      <c r="W74" s="1" t="s">
        <v>60</v>
      </c>
      <c r="X74" s="1" t="s">
        <v>25</v>
      </c>
      <c r="Y74" s="1" t="s">
        <v>20</v>
      </c>
      <c r="Z74" s="2" t="s">
        <v>25</v>
      </c>
      <c r="AA74" s="1" t="s">
        <v>25</v>
      </c>
      <c r="AB74" s="1" t="s">
        <v>25</v>
      </c>
      <c r="AC74" s="1" t="s">
        <v>25</v>
      </c>
      <c r="AD74" s="1" t="s">
        <v>25</v>
      </c>
      <c r="AE74" s="1" t="s">
        <v>6</v>
      </c>
      <c r="AF74" s="1" t="s">
        <v>646</v>
      </c>
      <c r="AG74" s="1" t="s">
        <v>647</v>
      </c>
      <c r="AH74" s="4" t="str">
        <f t="shared" si="3"/>
        <v>NR</v>
      </c>
      <c r="AI74" s="1" t="s">
        <v>25</v>
      </c>
      <c r="AJ74" s="2" t="s">
        <v>648</v>
      </c>
      <c r="AK74" s="2" t="s">
        <v>649</v>
      </c>
    </row>
    <row r="75" spans="1:37" ht="24.95" customHeight="1" x14ac:dyDescent="0.25">
      <c r="A75" s="1" t="s">
        <v>650</v>
      </c>
      <c r="B75" s="1">
        <v>3</v>
      </c>
      <c r="C75" s="1" t="s">
        <v>630</v>
      </c>
      <c r="D75" s="6" t="s">
        <v>651</v>
      </c>
      <c r="E75" s="1">
        <v>2022</v>
      </c>
      <c r="F75" s="6" t="s">
        <v>652</v>
      </c>
      <c r="G75" s="2" t="s">
        <v>653</v>
      </c>
      <c r="H75" s="1" t="s">
        <v>654</v>
      </c>
      <c r="I75" s="1" t="s">
        <v>100</v>
      </c>
      <c r="J75" s="1" t="s">
        <v>635</v>
      </c>
      <c r="K75" s="1" t="s">
        <v>611</v>
      </c>
      <c r="L75" s="1" t="s">
        <v>612</v>
      </c>
      <c r="M75" s="1" t="s">
        <v>10</v>
      </c>
      <c r="N75" s="1" t="s">
        <v>11</v>
      </c>
      <c r="O75" s="2" t="s">
        <v>655</v>
      </c>
      <c r="P75" s="1" t="s">
        <v>637</v>
      </c>
      <c r="Q75" s="1" t="s">
        <v>638</v>
      </c>
      <c r="R75" s="1" t="s">
        <v>15</v>
      </c>
      <c r="S75" s="1" t="s">
        <v>39</v>
      </c>
      <c r="T75" s="3" t="str">
        <f t="shared" si="2"/>
        <v>SIG multicriterio – Clasificación</v>
      </c>
      <c r="U75" s="1" t="s">
        <v>17</v>
      </c>
      <c r="V75" s="2" t="s">
        <v>17</v>
      </c>
      <c r="W75" s="1" t="s">
        <v>41</v>
      </c>
      <c r="X75" s="1" t="s">
        <v>42</v>
      </c>
      <c r="Y75" s="1" t="s">
        <v>20</v>
      </c>
      <c r="Z75" s="2" t="s">
        <v>25</v>
      </c>
      <c r="AA75" s="1" t="s">
        <v>25</v>
      </c>
      <c r="AB75" s="1" t="s">
        <v>25</v>
      </c>
      <c r="AC75" s="1" t="s">
        <v>656</v>
      </c>
      <c r="AD75" s="1" t="s">
        <v>657</v>
      </c>
      <c r="AE75" s="1" t="s">
        <v>639</v>
      </c>
      <c r="AF75" s="1">
        <v>0.86399999999999999</v>
      </c>
      <c r="AG75" s="1"/>
      <c r="AH75" s="4" t="str">
        <f t="shared" si="3"/>
        <v>Bueno</v>
      </c>
      <c r="AI75" s="1" t="s">
        <v>25</v>
      </c>
      <c r="AJ75" s="2" t="s">
        <v>658</v>
      </c>
      <c r="AK75" s="2"/>
    </row>
    <row r="76" spans="1:37" ht="24.95" customHeight="1" x14ac:dyDescent="0.25">
      <c r="A76" s="1" t="s">
        <v>659</v>
      </c>
      <c r="B76" s="1">
        <v>5</v>
      </c>
      <c r="C76" s="1" t="s">
        <v>630</v>
      </c>
      <c r="D76" s="6" t="s">
        <v>660</v>
      </c>
      <c r="E76" s="1">
        <v>2024</v>
      </c>
      <c r="F76" s="6" t="s">
        <v>661</v>
      </c>
      <c r="G76" s="2" t="s">
        <v>662</v>
      </c>
      <c r="H76" s="1" t="s">
        <v>663</v>
      </c>
      <c r="I76" s="1" t="s">
        <v>33</v>
      </c>
      <c r="J76" s="1" t="s">
        <v>635</v>
      </c>
      <c r="K76" s="1" t="s">
        <v>664</v>
      </c>
      <c r="L76" s="1" t="s">
        <v>665</v>
      </c>
      <c r="M76" s="1" t="s">
        <v>71</v>
      </c>
      <c r="N76" s="1" t="s">
        <v>11</v>
      </c>
      <c r="O76" s="2" t="s">
        <v>666</v>
      </c>
      <c r="P76" s="1" t="s">
        <v>637</v>
      </c>
      <c r="Q76" s="1" t="s">
        <v>667</v>
      </c>
      <c r="R76" s="1" t="s">
        <v>15</v>
      </c>
      <c r="S76" s="1" t="s">
        <v>39</v>
      </c>
      <c r="T76" s="3" t="str">
        <f t="shared" si="2"/>
        <v>SIG multicriterio – Clasificación</v>
      </c>
      <c r="U76" s="1" t="s">
        <v>6</v>
      </c>
      <c r="V76" s="2" t="s">
        <v>668</v>
      </c>
      <c r="W76" s="1" t="s">
        <v>41</v>
      </c>
      <c r="X76" s="1" t="s">
        <v>42</v>
      </c>
      <c r="Y76" s="1" t="s">
        <v>20</v>
      </c>
      <c r="Z76" s="2" t="s">
        <v>25</v>
      </c>
      <c r="AA76" s="1" t="s">
        <v>25</v>
      </c>
      <c r="AB76" s="1" t="s">
        <v>25</v>
      </c>
      <c r="AC76" s="1" t="s">
        <v>25</v>
      </c>
      <c r="AD76" s="1" t="s">
        <v>25</v>
      </c>
      <c r="AE76" s="1" t="s">
        <v>25</v>
      </c>
      <c r="AF76" s="1" t="s">
        <v>25</v>
      </c>
      <c r="AG76" s="1"/>
      <c r="AH76" s="4" t="str">
        <f t="shared" si="3"/>
        <v>NR</v>
      </c>
      <c r="AI76" s="1" t="s">
        <v>25</v>
      </c>
      <c r="AJ76" s="2" t="s">
        <v>669</v>
      </c>
      <c r="AK76" s="2"/>
    </row>
    <row r="77" spans="1:37" ht="24.95" customHeight="1" x14ac:dyDescent="0.25">
      <c r="A77" s="1" t="s">
        <v>670</v>
      </c>
      <c r="B77" s="1">
        <v>7</v>
      </c>
      <c r="C77" s="1" t="s">
        <v>630</v>
      </c>
      <c r="D77" s="6" t="s">
        <v>671</v>
      </c>
      <c r="E77" s="1">
        <v>2026</v>
      </c>
      <c r="F77" s="6" t="s">
        <v>672</v>
      </c>
      <c r="G77" s="2" t="s">
        <v>673</v>
      </c>
      <c r="H77" s="1" t="s">
        <v>674</v>
      </c>
      <c r="I77" s="1" t="s">
        <v>100</v>
      </c>
      <c r="J77" s="1" t="s">
        <v>635</v>
      </c>
      <c r="K77" s="1" t="s">
        <v>34</v>
      </c>
      <c r="L77" s="1" t="s">
        <v>35</v>
      </c>
      <c r="M77" s="1" t="s">
        <v>10</v>
      </c>
      <c r="N77" s="1" t="s">
        <v>11</v>
      </c>
      <c r="O77" s="2" t="s">
        <v>675</v>
      </c>
      <c r="P77" s="1" t="s">
        <v>75</v>
      </c>
      <c r="Q77" s="1" t="s">
        <v>78</v>
      </c>
      <c r="R77" s="1" t="s">
        <v>637</v>
      </c>
      <c r="S77" s="1" t="s">
        <v>39</v>
      </c>
      <c r="T77" s="3" t="str">
        <f t="shared" si="2"/>
        <v>Autocorrelación espacial – Clasificación</v>
      </c>
      <c r="U77" s="1" t="s">
        <v>6</v>
      </c>
      <c r="V77" s="2" t="s">
        <v>676</v>
      </c>
      <c r="W77" s="1" t="s">
        <v>203</v>
      </c>
      <c r="X77" s="1" t="s">
        <v>25</v>
      </c>
      <c r="Y77" s="1" t="s">
        <v>80</v>
      </c>
      <c r="Z77" s="2" t="s">
        <v>25</v>
      </c>
      <c r="AA77" s="1" t="s">
        <v>25</v>
      </c>
      <c r="AB77" s="1" t="s">
        <v>25</v>
      </c>
      <c r="AC77" s="1" t="s">
        <v>25</v>
      </c>
      <c r="AD77" s="1" t="s">
        <v>25</v>
      </c>
      <c r="AE77" s="1" t="s">
        <v>6</v>
      </c>
      <c r="AF77" s="1">
        <v>0.21917500000000001</v>
      </c>
      <c r="AG77" s="1" t="s">
        <v>677</v>
      </c>
      <c r="AH77" s="4" t="str">
        <f t="shared" si="3"/>
        <v>Sin rango</v>
      </c>
      <c r="AI77" s="1" t="s">
        <v>25</v>
      </c>
      <c r="AJ77" s="2" t="s">
        <v>678</v>
      </c>
      <c r="AK77" s="2"/>
    </row>
    <row r="78" spans="1:37" ht="24.95" customHeight="1" x14ac:dyDescent="0.25">
      <c r="A78" s="1" t="s">
        <v>679</v>
      </c>
      <c r="B78" s="1">
        <v>8</v>
      </c>
      <c r="C78" s="1" t="s">
        <v>630</v>
      </c>
      <c r="D78" s="6" t="s">
        <v>680</v>
      </c>
      <c r="E78" s="1">
        <v>2023</v>
      </c>
      <c r="F78" s="6" t="s">
        <v>97</v>
      </c>
      <c r="G78" s="2" t="s">
        <v>681</v>
      </c>
      <c r="H78" s="1" t="s">
        <v>682</v>
      </c>
      <c r="I78" s="1" t="s">
        <v>100</v>
      </c>
      <c r="J78" s="1" t="s">
        <v>635</v>
      </c>
      <c r="K78" s="1" t="s">
        <v>34</v>
      </c>
      <c r="L78" s="1" t="s">
        <v>35</v>
      </c>
      <c r="M78" s="1" t="s">
        <v>10</v>
      </c>
      <c r="N78" s="1" t="s">
        <v>11</v>
      </c>
      <c r="O78" s="2" t="s">
        <v>683</v>
      </c>
      <c r="P78" s="1" t="s">
        <v>75</v>
      </c>
      <c r="Q78" s="1" t="s">
        <v>78</v>
      </c>
      <c r="R78" s="1" t="s">
        <v>637</v>
      </c>
      <c r="S78" s="1" t="s">
        <v>39</v>
      </c>
      <c r="T78" s="3" t="str">
        <f t="shared" si="2"/>
        <v>Autocorrelación espacial – Clasificación</v>
      </c>
      <c r="U78" s="1" t="s">
        <v>17</v>
      </c>
      <c r="V78" s="2" t="s">
        <v>17</v>
      </c>
      <c r="W78" s="1" t="s">
        <v>78</v>
      </c>
      <c r="X78" s="1" t="s">
        <v>25</v>
      </c>
      <c r="Y78" s="1" t="s">
        <v>25</v>
      </c>
      <c r="Z78" s="2" t="s">
        <v>25</v>
      </c>
      <c r="AA78" s="1" t="s">
        <v>25</v>
      </c>
      <c r="AB78" s="1" t="s">
        <v>25</v>
      </c>
      <c r="AC78" s="1" t="s">
        <v>25</v>
      </c>
      <c r="AD78" s="1" t="s">
        <v>25</v>
      </c>
      <c r="AE78" s="1" t="s">
        <v>6</v>
      </c>
      <c r="AF78" s="1">
        <v>39.869999999999997</v>
      </c>
      <c r="AG78" s="1" t="s">
        <v>684</v>
      </c>
      <c r="AH78" s="4" t="str">
        <f t="shared" si="3"/>
        <v>Sin rango</v>
      </c>
      <c r="AI78" s="1" t="s">
        <v>25</v>
      </c>
      <c r="AJ78" s="2" t="s">
        <v>685</v>
      </c>
      <c r="AK78" s="2" t="s">
        <v>686</v>
      </c>
    </row>
    <row r="79" spans="1:37" ht="24.95" customHeight="1" x14ac:dyDescent="0.25">
      <c r="A79" s="1" t="s">
        <v>687</v>
      </c>
      <c r="B79" s="1">
        <v>9</v>
      </c>
      <c r="C79" s="1" t="s">
        <v>630</v>
      </c>
      <c r="D79" s="6" t="s">
        <v>688</v>
      </c>
      <c r="E79" s="1">
        <v>2025</v>
      </c>
      <c r="F79" s="6" t="s">
        <v>689</v>
      </c>
      <c r="G79" s="2" t="s">
        <v>690</v>
      </c>
      <c r="H79" s="1" t="s">
        <v>691</v>
      </c>
      <c r="I79" s="1" t="s">
        <v>68</v>
      </c>
      <c r="J79" s="1" t="s">
        <v>635</v>
      </c>
      <c r="K79" s="1" t="s">
        <v>692</v>
      </c>
      <c r="L79" s="1" t="s">
        <v>693</v>
      </c>
      <c r="M79" s="1" t="s">
        <v>10</v>
      </c>
      <c r="N79" s="1" t="s">
        <v>11</v>
      </c>
      <c r="O79" s="2" t="s">
        <v>694</v>
      </c>
      <c r="P79" s="1" t="s">
        <v>75</v>
      </c>
      <c r="Q79" s="1" t="s">
        <v>286</v>
      </c>
      <c r="R79" s="1" t="s">
        <v>13</v>
      </c>
      <c r="S79" s="1" t="s">
        <v>16</v>
      </c>
      <c r="T79" s="3" t="str">
        <f t="shared" si="2"/>
        <v>Autocorrelación espacial – Descriptivo</v>
      </c>
      <c r="U79" s="1" t="s">
        <v>6</v>
      </c>
      <c r="V79" s="2" t="s">
        <v>695</v>
      </c>
      <c r="W79" s="1" t="s">
        <v>286</v>
      </c>
      <c r="X79" s="1" t="s">
        <v>25</v>
      </c>
      <c r="Y79" s="1" t="s">
        <v>25</v>
      </c>
      <c r="Z79" s="2" t="s">
        <v>25</v>
      </c>
      <c r="AA79" s="1" t="s">
        <v>25</v>
      </c>
      <c r="AB79" s="1" t="s">
        <v>25</v>
      </c>
      <c r="AC79" s="1" t="s">
        <v>23</v>
      </c>
      <c r="AD79" s="1" t="s">
        <v>22</v>
      </c>
      <c r="AE79" s="1" t="s">
        <v>23</v>
      </c>
      <c r="AF79" s="1" t="s">
        <v>22</v>
      </c>
      <c r="AG79" s="1"/>
      <c r="AH79" s="4" t="str">
        <f t="shared" si="3"/>
        <v>No aplica</v>
      </c>
      <c r="AI79" s="1" t="s">
        <v>25</v>
      </c>
      <c r="AJ79" s="2" t="s">
        <v>696</v>
      </c>
      <c r="AK79" s="2" t="s">
        <v>533</v>
      </c>
    </row>
    <row r="80" spans="1:37" ht="24.95" customHeight="1" x14ac:dyDescent="0.25">
      <c r="A80" s="1" t="s">
        <v>697</v>
      </c>
      <c r="B80" s="1">
        <v>10</v>
      </c>
      <c r="C80" s="1" t="s">
        <v>630</v>
      </c>
      <c r="D80" s="6" t="s">
        <v>698</v>
      </c>
      <c r="E80" s="1">
        <v>2025</v>
      </c>
      <c r="F80" s="6" t="s">
        <v>699</v>
      </c>
      <c r="G80" s="2" t="s">
        <v>700</v>
      </c>
      <c r="H80" s="1" t="s">
        <v>701</v>
      </c>
      <c r="I80" s="1" t="s">
        <v>6</v>
      </c>
      <c r="J80" s="1" t="s">
        <v>635</v>
      </c>
      <c r="K80" s="1" t="s">
        <v>360</v>
      </c>
      <c r="L80" s="1" t="s">
        <v>361</v>
      </c>
      <c r="M80" s="1" t="s">
        <v>10</v>
      </c>
      <c r="N80" s="1" t="s">
        <v>11</v>
      </c>
      <c r="O80" s="2" t="s">
        <v>702</v>
      </c>
      <c r="P80" s="1" t="s">
        <v>75</v>
      </c>
      <c r="Q80" s="1" t="s">
        <v>286</v>
      </c>
      <c r="R80" s="1" t="s">
        <v>15</v>
      </c>
      <c r="S80" s="1" t="s">
        <v>16</v>
      </c>
      <c r="T80" s="3" t="str">
        <f t="shared" si="2"/>
        <v>Autocorrelación espacial – Descriptivo</v>
      </c>
      <c r="U80" s="1" t="s">
        <v>6</v>
      </c>
      <c r="V80" s="2" t="s">
        <v>703</v>
      </c>
      <c r="W80" s="1" t="s">
        <v>286</v>
      </c>
      <c r="X80" s="1" t="s">
        <v>25</v>
      </c>
      <c r="Y80" s="1" t="s">
        <v>25</v>
      </c>
      <c r="Z80" s="2" t="s">
        <v>25</v>
      </c>
      <c r="AA80" s="1" t="s">
        <v>25</v>
      </c>
      <c r="AB80" s="1" t="s">
        <v>25</v>
      </c>
      <c r="AC80" s="1" t="s">
        <v>23</v>
      </c>
      <c r="AD80" s="1" t="s">
        <v>22</v>
      </c>
      <c r="AE80" s="1" t="s">
        <v>6</v>
      </c>
      <c r="AF80" s="1" t="s">
        <v>704</v>
      </c>
      <c r="AG80" s="1" t="s">
        <v>705</v>
      </c>
      <c r="AH80" s="4" t="str">
        <f t="shared" si="3"/>
        <v>NR</v>
      </c>
      <c r="AI80" s="1" t="s">
        <v>25</v>
      </c>
      <c r="AJ80" s="2" t="s">
        <v>706</v>
      </c>
      <c r="AK80" s="2" t="s">
        <v>707</v>
      </c>
    </row>
    <row r="81" spans="1:37" ht="24.95" customHeight="1" x14ac:dyDescent="0.25">
      <c r="A81" s="1" t="s">
        <v>708</v>
      </c>
      <c r="B81" s="1">
        <v>11</v>
      </c>
      <c r="C81" s="1" t="s">
        <v>630</v>
      </c>
      <c r="D81" s="6" t="s">
        <v>709</v>
      </c>
      <c r="E81" s="1">
        <v>2025</v>
      </c>
      <c r="F81" s="6" t="s">
        <v>632</v>
      </c>
      <c r="G81" s="2" t="s">
        <v>710</v>
      </c>
      <c r="H81" s="1" t="s">
        <v>711</v>
      </c>
      <c r="I81" s="1" t="s">
        <v>100</v>
      </c>
      <c r="J81" s="1" t="s">
        <v>635</v>
      </c>
      <c r="K81" s="1" t="s">
        <v>34</v>
      </c>
      <c r="L81" s="1" t="s">
        <v>35</v>
      </c>
      <c r="M81" s="1" t="s">
        <v>10</v>
      </c>
      <c r="N81" s="1" t="s">
        <v>11</v>
      </c>
      <c r="O81" s="2" t="s">
        <v>712</v>
      </c>
      <c r="P81" s="1" t="s">
        <v>75</v>
      </c>
      <c r="Q81" s="1" t="s">
        <v>78</v>
      </c>
      <c r="R81" s="1" t="s">
        <v>312</v>
      </c>
      <c r="S81" s="1" t="s">
        <v>16</v>
      </c>
      <c r="T81" s="3" t="str">
        <f t="shared" si="2"/>
        <v>Autocorrelación espacial – Descriptivo</v>
      </c>
      <c r="U81" s="1" t="s">
        <v>6</v>
      </c>
      <c r="V81" s="2" t="s">
        <v>25</v>
      </c>
      <c r="W81" s="1" t="s">
        <v>78</v>
      </c>
      <c r="X81" s="1" t="s">
        <v>25</v>
      </c>
      <c r="Y81" s="1" t="s">
        <v>25</v>
      </c>
      <c r="Z81" s="2" t="s">
        <v>25</v>
      </c>
      <c r="AA81" s="1" t="s">
        <v>25</v>
      </c>
      <c r="AB81" s="1" t="s">
        <v>25</v>
      </c>
      <c r="AC81" s="1" t="s">
        <v>23</v>
      </c>
      <c r="AD81" s="1" t="s">
        <v>22</v>
      </c>
      <c r="AE81" s="1" t="s">
        <v>6</v>
      </c>
      <c r="AF81" s="1">
        <v>0.27</v>
      </c>
      <c r="AG81" s="1" t="s">
        <v>713</v>
      </c>
      <c r="AH81" s="4" t="str">
        <f t="shared" si="3"/>
        <v>Sin rango</v>
      </c>
      <c r="AI81" s="1" t="s">
        <v>25</v>
      </c>
      <c r="AJ81" s="2" t="s">
        <v>714</v>
      </c>
      <c r="AK81" s="2"/>
    </row>
    <row r="82" spans="1:37" ht="24.95" customHeight="1" x14ac:dyDescent="0.25">
      <c r="A82" s="1" t="s">
        <v>715</v>
      </c>
      <c r="B82" s="1">
        <v>12</v>
      </c>
      <c r="C82" s="1" t="s">
        <v>630</v>
      </c>
      <c r="D82" s="6" t="s">
        <v>716</v>
      </c>
      <c r="E82" s="1">
        <v>2022</v>
      </c>
      <c r="F82" s="6" t="s">
        <v>97</v>
      </c>
      <c r="G82" s="2" t="s">
        <v>717</v>
      </c>
      <c r="H82" s="1" t="s">
        <v>718</v>
      </c>
      <c r="I82" s="1" t="s">
        <v>100</v>
      </c>
      <c r="J82" s="1" t="s">
        <v>635</v>
      </c>
      <c r="K82" s="1" t="s">
        <v>34</v>
      </c>
      <c r="L82" s="1" t="s">
        <v>35</v>
      </c>
      <c r="M82" s="1" t="s">
        <v>10</v>
      </c>
      <c r="N82" s="1" t="s">
        <v>11</v>
      </c>
      <c r="O82" s="2" t="s">
        <v>719</v>
      </c>
      <c r="P82" s="1" t="s">
        <v>13</v>
      </c>
      <c r="Q82" s="1" t="s">
        <v>14</v>
      </c>
      <c r="R82" s="1" t="s">
        <v>720</v>
      </c>
      <c r="S82" s="1" t="s">
        <v>39</v>
      </c>
      <c r="T82" s="3" t="str">
        <f t="shared" si="2"/>
        <v>Patrones de puntos – Clasificación</v>
      </c>
      <c r="U82" s="1" t="s">
        <v>17</v>
      </c>
      <c r="V82" s="2" t="s">
        <v>17</v>
      </c>
      <c r="W82" s="1" t="s">
        <v>18</v>
      </c>
      <c r="X82" s="1" t="s">
        <v>25</v>
      </c>
      <c r="Y82" s="1" t="s">
        <v>20</v>
      </c>
      <c r="Z82" s="2" t="s">
        <v>25</v>
      </c>
      <c r="AA82" s="1" t="s">
        <v>25</v>
      </c>
      <c r="AB82" s="1" t="s">
        <v>25</v>
      </c>
      <c r="AC82" s="1" t="s">
        <v>25</v>
      </c>
      <c r="AD82" s="1" t="s">
        <v>25</v>
      </c>
      <c r="AE82" s="1" t="s">
        <v>721</v>
      </c>
      <c r="AF82" s="1">
        <v>0.87</v>
      </c>
      <c r="AG82" s="1"/>
      <c r="AH82" s="4" t="str">
        <f t="shared" si="3"/>
        <v>Alto</v>
      </c>
      <c r="AI82" s="1" t="s">
        <v>25</v>
      </c>
      <c r="AJ82" s="2" t="s">
        <v>722</v>
      </c>
      <c r="AK82" s="2" t="s">
        <v>533</v>
      </c>
    </row>
    <row r="83" spans="1:37" ht="24.95" customHeight="1" x14ac:dyDescent="0.25">
      <c r="A83" s="1" t="s">
        <v>723</v>
      </c>
      <c r="B83" s="1">
        <v>13</v>
      </c>
      <c r="C83" s="1" t="s">
        <v>630</v>
      </c>
      <c r="D83" s="6" t="s">
        <v>724</v>
      </c>
      <c r="E83" s="1">
        <v>2022</v>
      </c>
      <c r="F83" s="6" t="s">
        <v>725</v>
      </c>
      <c r="G83" s="2" t="s">
        <v>726</v>
      </c>
      <c r="H83" s="1" t="s">
        <v>727</v>
      </c>
      <c r="I83" s="1" t="s">
        <v>90</v>
      </c>
      <c r="J83" s="1" t="s">
        <v>635</v>
      </c>
      <c r="K83" s="1" t="s">
        <v>728</v>
      </c>
      <c r="L83" s="1" t="s">
        <v>729</v>
      </c>
      <c r="M83" s="1" t="s">
        <v>153</v>
      </c>
      <c r="N83" s="1" t="s">
        <v>11</v>
      </c>
      <c r="O83" s="2" t="s">
        <v>730</v>
      </c>
      <c r="P83" s="1" t="s">
        <v>731</v>
      </c>
      <c r="Q83" s="1" t="s">
        <v>732</v>
      </c>
      <c r="R83" s="1" t="s">
        <v>15</v>
      </c>
      <c r="S83" s="1" t="s">
        <v>76</v>
      </c>
      <c r="T83" s="3" t="str">
        <f t="shared" si="2"/>
        <v>Interpolación – Regresión</v>
      </c>
      <c r="U83" s="1" t="s">
        <v>733</v>
      </c>
      <c r="V83" s="2" t="s">
        <v>733</v>
      </c>
      <c r="W83" s="1" t="s">
        <v>41</v>
      </c>
      <c r="X83" s="1" t="s">
        <v>42</v>
      </c>
      <c r="Y83" s="1" t="s">
        <v>20</v>
      </c>
      <c r="Z83" s="2" t="s">
        <v>25</v>
      </c>
      <c r="AA83" s="1" t="s">
        <v>25</v>
      </c>
      <c r="AB83" s="1" t="s">
        <v>25</v>
      </c>
      <c r="AC83" s="1" t="s">
        <v>734</v>
      </c>
      <c r="AD83" s="1" t="s">
        <v>25</v>
      </c>
      <c r="AE83" s="1" t="s">
        <v>25</v>
      </c>
      <c r="AF83" s="1" t="s">
        <v>25</v>
      </c>
      <c r="AG83" s="1"/>
      <c r="AH83" s="4" t="str">
        <f t="shared" si="3"/>
        <v>NR</v>
      </c>
      <c r="AI83" s="1" t="s">
        <v>25</v>
      </c>
      <c r="AJ83" s="2" t="s">
        <v>735</v>
      </c>
      <c r="AK83" s="2" t="s">
        <v>736</v>
      </c>
    </row>
    <row r="84" spans="1:37" ht="24.95" customHeight="1" x14ac:dyDescent="0.25">
      <c r="A84" s="1" t="s">
        <v>737</v>
      </c>
      <c r="B84" s="1">
        <v>14</v>
      </c>
      <c r="C84" s="1" t="s">
        <v>630</v>
      </c>
      <c r="D84" s="6" t="s">
        <v>738</v>
      </c>
      <c r="E84" s="1">
        <v>2024</v>
      </c>
      <c r="F84" s="6" t="s">
        <v>30</v>
      </c>
      <c r="G84" s="2" t="s">
        <v>739</v>
      </c>
      <c r="H84" s="1" t="s">
        <v>740</v>
      </c>
      <c r="I84" s="1" t="s">
        <v>33</v>
      </c>
      <c r="J84" s="1" t="s">
        <v>635</v>
      </c>
      <c r="K84" s="1" t="s">
        <v>34</v>
      </c>
      <c r="L84" s="1" t="s">
        <v>35</v>
      </c>
      <c r="M84" s="1" t="s">
        <v>10</v>
      </c>
      <c r="N84" s="1" t="s">
        <v>11</v>
      </c>
      <c r="O84" s="2" t="s">
        <v>741</v>
      </c>
      <c r="P84" s="1" t="s">
        <v>731</v>
      </c>
      <c r="Q84" s="1" t="s">
        <v>732</v>
      </c>
      <c r="R84" s="1" t="s">
        <v>742</v>
      </c>
      <c r="S84" s="1" t="s">
        <v>76</v>
      </c>
      <c r="T84" s="3" t="str">
        <f t="shared" si="2"/>
        <v>Interpolación – Regresión</v>
      </c>
      <c r="U84" s="1" t="s">
        <v>733</v>
      </c>
      <c r="V84" s="2" t="s">
        <v>733</v>
      </c>
      <c r="W84" s="1" t="s">
        <v>41</v>
      </c>
      <c r="X84" s="1" t="s">
        <v>42</v>
      </c>
      <c r="Y84" s="1" t="s">
        <v>20</v>
      </c>
      <c r="Z84" s="2" t="s">
        <v>25</v>
      </c>
      <c r="AA84" s="1" t="s">
        <v>25</v>
      </c>
      <c r="AB84" s="1" t="s">
        <v>25</v>
      </c>
      <c r="AC84" s="1" t="s">
        <v>25</v>
      </c>
      <c r="AD84" s="1" t="s">
        <v>25</v>
      </c>
      <c r="AE84" s="1" t="s">
        <v>83</v>
      </c>
      <c r="AF84" s="1">
        <v>0.50800000000000001</v>
      </c>
      <c r="AG84" s="1"/>
      <c r="AH84" s="4" t="str">
        <f t="shared" si="3"/>
        <v>Moderado</v>
      </c>
      <c r="AI84" s="1" t="s">
        <v>25</v>
      </c>
      <c r="AJ84" s="2" t="s">
        <v>743</v>
      </c>
      <c r="AK84" s="2"/>
    </row>
    <row r="85" spans="1:37" ht="24.95" customHeight="1" x14ac:dyDescent="0.25">
      <c r="A85" s="1" t="s">
        <v>744</v>
      </c>
      <c r="B85" s="1">
        <v>15</v>
      </c>
      <c r="C85" s="1" t="s">
        <v>630</v>
      </c>
      <c r="D85" s="6" t="s">
        <v>745</v>
      </c>
      <c r="E85" s="1">
        <v>2022</v>
      </c>
      <c r="F85" s="6" t="s">
        <v>746</v>
      </c>
      <c r="G85" s="2" t="s">
        <v>747</v>
      </c>
      <c r="H85" s="1" t="s">
        <v>748</v>
      </c>
      <c r="I85" s="1" t="s">
        <v>33</v>
      </c>
      <c r="J85" s="1" t="s">
        <v>635</v>
      </c>
      <c r="K85" s="1" t="s">
        <v>692</v>
      </c>
      <c r="L85" s="1" t="s">
        <v>693</v>
      </c>
      <c r="M85" s="1" t="s">
        <v>10</v>
      </c>
      <c r="N85" s="1" t="s">
        <v>11</v>
      </c>
      <c r="O85" s="2" t="s">
        <v>749</v>
      </c>
      <c r="P85" s="1" t="s">
        <v>637</v>
      </c>
      <c r="Q85" s="1" t="s">
        <v>638</v>
      </c>
      <c r="R85" s="1" t="s">
        <v>15</v>
      </c>
      <c r="S85" s="1" t="s">
        <v>39</v>
      </c>
      <c r="T85" s="3" t="str">
        <f t="shared" si="2"/>
        <v>SIG multicriterio – Clasificación</v>
      </c>
      <c r="U85" s="1" t="s">
        <v>6</v>
      </c>
      <c r="V85" s="2" t="s">
        <v>25</v>
      </c>
      <c r="W85" s="1" t="s">
        <v>41</v>
      </c>
      <c r="X85" s="1" t="s">
        <v>42</v>
      </c>
      <c r="Y85" s="1" t="s">
        <v>20</v>
      </c>
      <c r="Z85" s="2" t="s">
        <v>25</v>
      </c>
      <c r="AA85" s="1" t="s">
        <v>25</v>
      </c>
      <c r="AB85" s="1" t="s">
        <v>25</v>
      </c>
      <c r="AC85" s="1" t="s">
        <v>25</v>
      </c>
      <c r="AD85" s="1" t="s">
        <v>25</v>
      </c>
      <c r="AE85" s="1" t="s">
        <v>639</v>
      </c>
      <c r="AF85" s="1">
        <v>0.77500000000000002</v>
      </c>
      <c r="AG85" s="1"/>
      <c r="AH85" s="4" t="str">
        <f t="shared" si="3"/>
        <v>Aceptable</v>
      </c>
      <c r="AI85" s="1" t="s">
        <v>25</v>
      </c>
      <c r="AJ85" s="2" t="s">
        <v>750</v>
      </c>
      <c r="AK85" s="2"/>
    </row>
    <row r="86" spans="1:37" ht="24.95" customHeight="1" x14ac:dyDescent="0.25">
      <c r="A86" s="1" t="s">
        <v>751</v>
      </c>
      <c r="B86" s="1">
        <v>16</v>
      </c>
      <c r="C86" s="1" t="s">
        <v>630</v>
      </c>
      <c r="D86" s="6" t="s">
        <v>544</v>
      </c>
      <c r="E86" s="1">
        <v>2021</v>
      </c>
      <c r="F86" s="6" t="s">
        <v>752</v>
      </c>
      <c r="G86" s="2" t="s">
        <v>753</v>
      </c>
      <c r="H86" s="1" t="s">
        <v>754</v>
      </c>
      <c r="I86" s="1" t="s">
        <v>6</v>
      </c>
      <c r="J86" s="1" t="s">
        <v>635</v>
      </c>
      <c r="K86" s="1" t="s">
        <v>548</v>
      </c>
      <c r="L86" s="1" t="s">
        <v>549</v>
      </c>
      <c r="M86" s="1" t="s">
        <v>10</v>
      </c>
      <c r="N86" s="1" t="s">
        <v>11</v>
      </c>
      <c r="O86" s="2" t="s">
        <v>755</v>
      </c>
      <c r="P86" s="1" t="s">
        <v>73</v>
      </c>
      <c r="Q86" s="1" t="s">
        <v>313</v>
      </c>
      <c r="R86" s="1" t="s">
        <v>15</v>
      </c>
      <c r="S86" s="1" t="s">
        <v>76</v>
      </c>
      <c r="T86" s="3" t="str">
        <f t="shared" si="2"/>
        <v>Regresión espacial – Regresión</v>
      </c>
      <c r="U86" s="1" t="s">
        <v>325</v>
      </c>
      <c r="V86" s="2" t="s">
        <v>325</v>
      </c>
      <c r="W86" s="1" t="s">
        <v>41</v>
      </c>
      <c r="X86" s="1" t="s">
        <v>42</v>
      </c>
      <c r="Y86" s="1" t="s">
        <v>20</v>
      </c>
      <c r="Z86" s="2" t="s">
        <v>25</v>
      </c>
      <c r="AA86" s="1" t="s">
        <v>25</v>
      </c>
      <c r="AB86" s="1" t="s">
        <v>25</v>
      </c>
      <c r="AC86" s="1" t="s">
        <v>25</v>
      </c>
      <c r="AD86" s="1" t="s">
        <v>25</v>
      </c>
      <c r="AE86" s="1" t="s">
        <v>83</v>
      </c>
      <c r="AF86" s="1">
        <v>0.98</v>
      </c>
      <c r="AG86" s="1"/>
      <c r="AH86" s="4" t="str">
        <f t="shared" si="3"/>
        <v>Alto</v>
      </c>
      <c r="AI86" s="1" t="s">
        <v>25</v>
      </c>
      <c r="AJ86" s="2" t="s">
        <v>756</v>
      </c>
      <c r="AK86" s="2"/>
    </row>
    <row r="87" spans="1:37" ht="24.95" customHeight="1" x14ac:dyDescent="0.25">
      <c r="A87" s="1" t="s">
        <v>757</v>
      </c>
      <c r="B87" s="1">
        <v>17</v>
      </c>
      <c r="C87" s="1" t="s">
        <v>630</v>
      </c>
      <c r="D87" s="6" t="s">
        <v>758</v>
      </c>
      <c r="E87" s="1">
        <v>2023</v>
      </c>
      <c r="F87" s="6" t="s">
        <v>672</v>
      </c>
      <c r="G87" s="2" t="s">
        <v>759</v>
      </c>
      <c r="H87" s="1" t="s">
        <v>760</v>
      </c>
      <c r="I87" s="1" t="s">
        <v>100</v>
      </c>
      <c r="J87" s="1" t="s">
        <v>635</v>
      </c>
      <c r="K87" s="1" t="s">
        <v>25</v>
      </c>
      <c r="L87" s="1" t="s">
        <v>25</v>
      </c>
      <c r="M87" s="1" t="s">
        <v>25</v>
      </c>
      <c r="N87" s="1" t="s">
        <v>25</v>
      </c>
      <c r="O87" s="2" t="s">
        <v>761</v>
      </c>
      <c r="P87" s="1" t="s">
        <v>731</v>
      </c>
      <c r="Q87" s="1" t="s">
        <v>762</v>
      </c>
      <c r="R87" s="1" t="s">
        <v>312</v>
      </c>
      <c r="S87" s="1" t="s">
        <v>76</v>
      </c>
      <c r="T87" s="3" t="str">
        <f t="shared" si="2"/>
        <v>Interpolación – Regresión</v>
      </c>
      <c r="U87" s="1" t="s">
        <v>17</v>
      </c>
      <c r="V87" s="2" t="s">
        <v>17</v>
      </c>
      <c r="W87" s="1" t="s">
        <v>41</v>
      </c>
      <c r="X87" s="1" t="s">
        <v>42</v>
      </c>
      <c r="Y87" s="1" t="s">
        <v>20</v>
      </c>
      <c r="Z87" s="2" t="s">
        <v>25</v>
      </c>
      <c r="AA87" s="1" t="s">
        <v>25</v>
      </c>
      <c r="AB87" s="1" t="s">
        <v>25</v>
      </c>
      <c r="AC87" s="1" t="s">
        <v>25</v>
      </c>
      <c r="AD87" s="1" t="s">
        <v>25</v>
      </c>
      <c r="AE87" s="1" t="s">
        <v>25</v>
      </c>
      <c r="AF87" s="1" t="s">
        <v>25</v>
      </c>
      <c r="AG87" s="1"/>
      <c r="AH87" s="4" t="str">
        <f t="shared" si="3"/>
        <v>NR</v>
      </c>
      <c r="AI87" s="1" t="s">
        <v>25</v>
      </c>
      <c r="AJ87" s="2" t="s">
        <v>763</v>
      </c>
      <c r="AK87" s="2"/>
    </row>
    <row r="88" spans="1:37" ht="24.95" customHeight="1" x14ac:dyDescent="0.25">
      <c r="A88" s="1" t="s">
        <v>764</v>
      </c>
      <c r="B88" s="1">
        <v>18</v>
      </c>
      <c r="C88" s="1" t="s">
        <v>630</v>
      </c>
      <c r="D88" s="6" t="s">
        <v>765</v>
      </c>
      <c r="E88" s="1">
        <v>2024</v>
      </c>
      <c r="F88" s="6" t="s">
        <v>672</v>
      </c>
      <c r="G88" s="2" t="s">
        <v>766</v>
      </c>
      <c r="H88" s="1" t="s">
        <v>767</v>
      </c>
      <c r="I88" s="1" t="s">
        <v>100</v>
      </c>
      <c r="J88" s="1" t="s">
        <v>635</v>
      </c>
      <c r="K88" s="1" t="s">
        <v>728</v>
      </c>
      <c r="L88" s="1" t="s">
        <v>729</v>
      </c>
      <c r="M88" s="1" t="s">
        <v>153</v>
      </c>
      <c r="N88" s="1" t="s">
        <v>11</v>
      </c>
      <c r="O88" s="2" t="s">
        <v>768</v>
      </c>
      <c r="P88" s="1" t="s">
        <v>731</v>
      </c>
      <c r="Q88" s="1" t="s">
        <v>762</v>
      </c>
      <c r="R88" s="1" t="s">
        <v>15</v>
      </c>
      <c r="S88" s="1" t="s">
        <v>39</v>
      </c>
      <c r="T88" s="3" t="str">
        <f t="shared" si="2"/>
        <v>Interpolación – Clasificación</v>
      </c>
      <c r="U88" s="1" t="s">
        <v>531</v>
      </c>
      <c r="V88" s="2" t="s">
        <v>769</v>
      </c>
      <c r="W88" s="1" t="s">
        <v>41</v>
      </c>
      <c r="X88" s="1" t="s">
        <v>42</v>
      </c>
      <c r="Y88" s="1" t="s">
        <v>20</v>
      </c>
      <c r="Z88" s="2" t="s">
        <v>25</v>
      </c>
      <c r="AA88" s="1" t="s">
        <v>25</v>
      </c>
      <c r="AB88" s="1" t="s">
        <v>25</v>
      </c>
      <c r="AC88" s="1" t="s">
        <v>25</v>
      </c>
      <c r="AD88" s="1" t="s">
        <v>25</v>
      </c>
      <c r="AE88" s="1" t="s">
        <v>6</v>
      </c>
      <c r="AF88" s="1">
        <v>37</v>
      </c>
      <c r="AG88" s="1" t="s">
        <v>770</v>
      </c>
      <c r="AH88" s="4" t="str">
        <f t="shared" si="3"/>
        <v>Sin rango</v>
      </c>
      <c r="AI88" s="1" t="s">
        <v>25</v>
      </c>
      <c r="AJ88" s="2" t="s">
        <v>771</v>
      </c>
      <c r="AK88" s="2" t="s">
        <v>772</v>
      </c>
    </row>
    <row r="89" spans="1:37" ht="24.95" customHeight="1" x14ac:dyDescent="0.25">
      <c r="A89" s="1" t="s">
        <v>773</v>
      </c>
      <c r="B89" s="1">
        <v>20</v>
      </c>
      <c r="C89" s="1" t="s">
        <v>630</v>
      </c>
      <c r="D89" s="6" t="s">
        <v>774</v>
      </c>
      <c r="E89" s="1">
        <v>2025</v>
      </c>
      <c r="F89" s="6" t="s">
        <v>672</v>
      </c>
      <c r="G89" s="2" t="s">
        <v>775</v>
      </c>
      <c r="H89" s="1" t="s">
        <v>776</v>
      </c>
      <c r="I89" s="1" t="s">
        <v>100</v>
      </c>
      <c r="J89" s="1" t="s">
        <v>635</v>
      </c>
      <c r="K89" s="1" t="s">
        <v>34</v>
      </c>
      <c r="L89" s="1" t="s">
        <v>35</v>
      </c>
      <c r="M89" s="1" t="s">
        <v>10</v>
      </c>
      <c r="N89" s="1" t="s">
        <v>11</v>
      </c>
      <c r="O89" s="2" t="s">
        <v>777</v>
      </c>
      <c r="P89" s="1" t="s">
        <v>13</v>
      </c>
      <c r="Q89" s="1" t="s">
        <v>778</v>
      </c>
      <c r="R89" s="1" t="s">
        <v>15</v>
      </c>
      <c r="S89" s="1" t="s">
        <v>16</v>
      </c>
      <c r="T89" s="3" t="str">
        <f t="shared" si="2"/>
        <v>Patrones de puntos – Descriptivo</v>
      </c>
      <c r="U89" s="1" t="s">
        <v>6</v>
      </c>
      <c r="V89" s="2" t="s">
        <v>25</v>
      </c>
      <c r="W89" s="1" t="s">
        <v>60</v>
      </c>
      <c r="X89" s="1" t="s">
        <v>25</v>
      </c>
      <c r="Y89" s="1" t="s">
        <v>20</v>
      </c>
      <c r="Z89" s="2" t="s">
        <v>25</v>
      </c>
      <c r="AA89" s="1" t="s">
        <v>25</v>
      </c>
      <c r="AB89" s="1" t="s">
        <v>25</v>
      </c>
      <c r="AC89" s="1" t="s">
        <v>23</v>
      </c>
      <c r="AD89" s="1" t="s">
        <v>22</v>
      </c>
      <c r="AE89" s="1" t="s">
        <v>6</v>
      </c>
      <c r="AF89" s="1">
        <v>8</v>
      </c>
      <c r="AG89" s="1" t="s">
        <v>779</v>
      </c>
      <c r="AH89" s="4" t="str">
        <f t="shared" si="3"/>
        <v>Sin rango</v>
      </c>
      <c r="AI89" s="1" t="s">
        <v>25</v>
      </c>
      <c r="AJ89" s="2" t="s">
        <v>780</v>
      </c>
      <c r="AK89" s="2" t="s">
        <v>781</v>
      </c>
    </row>
    <row r="90" spans="1:37" ht="24.95" customHeight="1" x14ac:dyDescent="0.25">
      <c r="A90" s="1" t="s">
        <v>782</v>
      </c>
      <c r="B90" s="1">
        <v>21</v>
      </c>
      <c r="C90" s="1" t="s">
        <v>630</v>
      </c>
      <c r="D90" s="6" t="s">
        <v>783</v>
      </c>
      <c r="E90" s="1">
        <v>2025</v>
      </c>
      <c r="F90" s="6" t="s">
        <v>784</v>
      </c>
      <c r="G90" s="2" t="s">
        <v>785</v>
      </c>
      <c r="H90" s="1" t="s">
        <v>786</v>
      </c>
      <c r="I90" s="1" t="s">
        <v>33</v>
      </c>
      <c r="J90" s="1" t="s">
        <v>635</v>
      </c>
      <c r="K90" s="1" t="s">
        <v>34</v>
      </c>
      <c r="L90" s="1" t="s">
        <v>35</v>
      </c>
      <c r="M90" s="1" t="s">
        <v>10</v>
      </c>
      <c r="N90" s="1" t="s">
        <v>11</v>
      </c>
      <c r="O90" s="2" t="s">
        <v>787</v>
      </c>
      <c r="P90" s="1" t="s">
        <v>37</v>
      </c>
      <c r="Q90" s="1" t="s">
        <v>788</v>
      </c>
      <c r="R90" s="1" t="s">
        <v>15</v>
      </c>
      <c r="S90" s="1" t="s">
        <v>39</v>
      </c>
      <c r="T90" s="3" t="str">
        <f t="shared" si="2"/>
        <v>Machine learning – Clasificación</v>
      </c>
      <c r="U90" s="1" t="s">
        <v>6</v>
      </c>
      <c r="V90" s="2" t="s">
        <v>25</v>
      </c>
      <c r="W90" s="1" t="s">
        <v>41</v>
      </c>
      <c r="X90" s="1" t="s">
        <v>42</v>
      </c>
      <c r="Y90" s="1" t="s">
        <v>20</v>
      </c>
      <c r="Z90" s="2" t="s">
        <v>25</v>
      </c>
      <c r="AA90" s="1" t="s">
        <v>25</v>
      </c>
      <c r="AB90" s="1" t="s">
        <v>25</v>
      </c>
      <c r="AC90" s="1" t="s">
        <v>25</v>
      </c>
      <c r="AD90" s="1" t="s">
        <v>25</v>
      </c>
      <c r="AE90" s="1" t="s">
        <v>6</v>
      </c>
      <c r="AF90" s="1" t="s">
        <v>789</v>
      </c>
      <c r="AG90" s="1" t="s">
        <v>790</v>
      </c>
      <c r="AH90" s="4" t="str">
        <f t="shared" si="3"/>
        <v>NR</v>
      </c>
      <c r="AI90" s="1" t="s">
        <v>25</v>
      </c>
      <c r="AJ90" s="2" t="s">
        <v>791</v>
      </c>
      <c r="AK90" s="2" t="s">
        <v>792</v>
      </c>
    </row>
    <row r="91" spans="1:37" ht="24.95" customHeight="1" x14ac:dyDescent="0.25">
      <c r="A91" s="1" t="s">
        <v>793</v>
      </c>
      <c r="B91" s="1">
        <v>22</v>
      </c>
      <c r="C91" s="1" t="s">
        <v>630</v>
      </c>
      <c r="D91" s="6" t="s">
        <v>794</v>
      </c>
      <c r="E91" s="1">
        <v>2022</v>
      </c>
      <c r="F91" s="6" t="s">
        <v>689</v>
      </c>
      <c r="G91" s="2" t="s">
        <v>795</v>
      </c>
      <c r="H91" s="1" t="s">
        <v>796</v>
      </c>
      <c r="I91" s="1" t="s">
        <v>68</v>
      </c>
      <c r="J91" s="1" t="s">
        <v>635</v>
      </c>
      <c r="K91" s="1" t="s">
        <v>360</v>
      </c>
      <c r="L91" s="1" t="s">
        <v>361</v>
      </c>
      <c r="M91" s="1" t="s">
        <v>10</v>
      </c>
      <c r="N91" s="1" t="s">
        <v>11</v>
      </c>
      <c r="O91" s="2" t="s">
        <v>797</v>
      </c>
      <c r="P91" s="1" t="s">
        <v>13</v>
      </c>
      <c r="Q91" s="1" t="s">
        <v>798</v>
      </c>
      <c r="R91" s="1" t="s">
        <v>75</v>
      </c>
      <c r="S91" s="1" t="s">
        <v>16</v>
      </c>
      <c r="T91" s="3" t="str">
        <f t="shared" si="2"/>
        <v>Patrones de puntos – Descriptivo</v>
      </c>
      <c r="U91" s="1" t="s">
        <v>531</v>
      </c>
      <c r="V91" s="2" t="s">
        <v>531</v>
      </c>
      <c r="W91" s="1" t="s">
        <v>60</v>
      </c>
      <c r="X91" s="1" t="s">
        <v>25</v>
      </c>
      <c r="Y91" s="1" t="s">
        <v>20</v>
      </c>
      <c r="Z91" s="2" t="s">
        <v>25</v>
      </c>
      <c r="AA91" s="1" t="s">
        <v>25</v>
      </c>
      <c r="AB91" s="1" t="s">
        <v>25</v>
      </c>
      <c r="AC91" s="1" t="s">
        <v>23</v>
      </c>
      <c r="AD91" s="1" t="s">
        <v>22</v>
      </c>
      <c r="AE91" s="1" t="s">
        <v>6</v>
      </c>
      <c r="AF91" s="1">
        <v>1347</v>
      </c>
      <c r="AG91" s="1" t="s">
        <v>799</v>
      </c>
      <c r="AH91" s="4" t="str">
        <f t="shared" si="3"/>
        <v>Sin rango</v>
      </c>
      <c r="AI91" s="1" t="s">
        <v>25</v>
      </c>
      <c r="AJ91" s="2" t="s">
        <v>800</v>
      </c>
      <c r="AK91" s="2" t="s">
        <v>801</v>
      </c>
    </row>
    <row r="92" spans="1:37" ht="24.95" customHeight="1" x14ac:dyDescent="0.25">
      <c r="A92" s="1" t="s">
        <v>802</v>
      </c>
      <c r="B92" s="1">
        <v>24</v>
      </c>
      <c r="C92" s="1" t="s">
        <v>630</v>
      </c>
      <c r="D92" s="6" t="s">
        <v>803</v>
      </c>
      <c r="E92" s="1">
        <v>2026</v>
      </c>
      <c r="F92" s="6" t="s">
        <v>405</v>
      </c>
      <c r="G92" s="2" t="s">
        <v>804</v>
      </c>
      <c r="H92" s="1" t="s">
        <v>805</v>
      </c>
      <c r="I92" s="1" t="s">
        <v>33</v>
      </c>
      <c r="J92" s="1" t="s">
        <v>635</v>
      </c>
      <c r="K92" s="1" t="s">
        <v>34</v>
      </c>
      <c r="L92" s="1" t="s">
        <v>35</v>
      </c>
      <c r="M92" s="1" t="s">
        <v>10</v>
      </c>
      <c r="N92" s="1" t="s">
        <v>11</v>
      </c>
      <c r="O92" s="2" t="s">
        <v>806</v>
      </c>
      <c r="P92" s="1" t="s">
        <v>637</v>
      </c>
      <c r="Q92" s="1" t="s">
        <v>638</v>
      </c>
      <c r="R92" s="1" t="s">
        <v>720</v>
      </c>
      <c r="S92" s="1" t="s">
        <v>39</v>
      </c>
      <c r="T92" s="3" t="str">
        <f t="shared" si="2"/>
        <v>SIG multicriterio – Clasificación</v>
      </c>
      <c r="U92" s="1" t="s">
        <v>6</v>
      </c>
      <c r="V92" s="2" t="s">
        <v>676</v>
      </c>
      <c r="W92" s="1" t="s">
        <v>41</v>
      </c>
      <c r="X92" s="1" t="s">
        <v>42</v>
      </c>
      <c r="Y92" s="1" t="s">
        <v>20</v>
      </c>
      <c r="Z92" s="2" t="s">
        <v>25</v>
      </c>
      <c r="AA92" s="1" t="s">
        <v>25</v>
      </c>
      <c r="AB92" s="1" t="s">
        <v>25</v>
      </c>
      <c r="AC92" s="1" t="s">
        <v>25</v>
      </c>
      <c r="AD92" s="1" t="s">
        <v>25</v>
      </c>
      <c r="AE92" s="1" t="s">
        <v>6</v>
      </c>
      <c r="AF92" s="1">
        <v>1165</v>
      </c>
      <c r="AG92" s="1" t="s">
        <v>807</v>
      </c>
      <c r="AH92" s="4" t="str">
        <f t="shared" si="3"/>
        <v>Sin rango</v>
      </c>
      <c r="AI92" s="1" t="s">
        <v>25</v>
      </c>
      <c r="AJ92" s="2" t="s">
        <v>808</v>
      </c>
      <c r="AK92" s="2" t="s">
        <v>809</v>
      </c>
    </row>
    <row r="93" spans="1:37" ht="24.95" customHeight="1" x14ac:dyDescent="0.25">
      <c r="A93" s="1" t="s">
        <v>810</v>
      </c>
      <c r="B93" s="1">
        <v>25</v>
      </c>
      <c r="C93" s="1" t="s">
        <v>630</v>
      </c>
      <c r="D93" s="6" t="s">
        <v>811</v>
      </c>
      <c r="E93" s="1">
        <v>2024</v>
      </c>
      <c r="F93" s="6" t="s">
        <v>746</v>
      </c>
      <c r="G93" s="2" t="s">
        <v>812</v>
      </c>
      <c r="H93" s="1" t="s">
        <v>813</v>
      </c>
      <c r="I93" s="1" t="s">
        <v>33</v>
      </c>
      <c r="J93" s="1" t="s">
        <v>635</v>
      </c>
      <c r="K93" s="1" t="s">
        <v>728</v>
      </c>
      <c r="L93" s="1" t="s">
        <v>729</v>
      </c>
      <c r="M93" s="1" t="s">
        <v>153</v>
      </c>
      <c r="N93" s="1" t="s">
        <v>11</v>
      </c>
      <c r="O93" s="2" t="s">
        <v>814</v>
      </c>
      <c r="P93" s="1" t="s">
        <v>6</v>
      </c>
      <c r="Q93" s="1" t="s">
        <v>393</v>
      </c>
      <c r="R93" s="1" t="s">
        <v>15</v>
      </c>
      <c r="S93" s="1" t="s">
        <v>16</v>
      </c>
      <c r="T93" s="3" t="str">
        <f t="shared" si="2"/>
        <v>Otra – Descriptivo</v>
      </c>
      <c r="U93" s="1" t="s">
        <v>6</v>
      </c>
      <c r="V93" s="2" t="s">
        <v>25</v>
      </c>
      <c r="W93" s="1" t="s">
        <v>41</v>
      </c>
      <c r="X93" s="1" t="s">
        <v>42</v>
      </c>
      <c r="Y93" s="1" t="s">
        <v>20</v>
      </c>
      <c r="Z93" s="2" t="s">
        <v>25</v>
      </c>
      <c r="AA93" s="1" t="s">
        <v>25</v>
      </c>
      <c r="AB93" s="1" t="s">
        <v>25</v>
      </c>
      <c r="AC93" s="1" t="s">
        <v>23</v>
      </c>
      <c r="AD93" s="1" t="s">
        <v>22</v>
      </c>
      <c r="AE93" s="1" t="s">
        <v>23</v>
      </c>
      <c r="AF93" s="1" t="s">
        <v>22</v>
      </c>
      <c r="AG93" s="1"/>
      <c r="AH93" s="4" t="str">
        <f t="shared" si="3"/>
        <v>No aplica</v>
      </c>
      <c r="AI93" s="1" t="s">
        <v>25</v>
      </c>
      <c r="AJ93" s="2" t="s">
        <v>815</v>
      </c>
      <c r="AK93" s="2"/>
    </row>
    <row r="94" spans="1:37" ht="24.95" customHeight="1" x14ac:dyDescent="0.25">
      <c r="A94" s="1" t="s">
        <v>816</v>
      </c>
      <c r="B94" s="1">
        <v>26</v>
      </c>
      <c r="C94" s="1" t="s">
        <v>630</v>
      </c>
      <c r="D94" s="6" t="s">
        <v>817</v>
      </c>
      <c r="E94" s="1">
        <v>2023</v>
      </c>
      <c r="F94" s="6" t="s">
        <v>254</v>
      </c>
      <c r="G94" s="2" t="s">
        <v>818</v>
      </c>
      <c r="H94" s="1" t="s">
        <v>819</v>
      </c>
      <c r="I94" s="1" t="s">
        <v>68</v>
      </c>
      <c r="J94" s="1" t="s">
        <v>635</v>
      </c>
      <c r="K94" s="1" t="s">
        <v>138</v>
      </c>
      <c r="L94" s="1" t="s">
        <v>139</v>
      </c>
      <c r="M94" s="1" t="s">
        <v>140</v>
      </c>
      <c r="N94" s="1" t="s">
        <v>11</v>
      </c>
      <c r="O94" s="2" t="s">
        <v>820</v>
      </c>
      <c r="P94" s="1" t="s">
        <v>13</v>
      </c>
      <c r="Q94" s="1" t="s">
        <v>821</v>
      </c>
      <c r="R94" s="1" t="s">
        <v>15</v>
      </c>
      <c r="S94" s="1" t="s">
        <v>76</v>
      </c>
      <c r="T94" s="3" t="str">
        <f t="shared" si="2"/>
        <v>Patrones de puntos – Regresión</v>
      </c>
      <c r="U94" s="1" t="s">
        <v>6</v>
      </c>
      <c r="V94" s="2" t="s">
        <v>695</v>
      </c>
      <c r="W94" s="1" t="s">
        <v>60</v>
      </c>
      <c r="X94" s="1" t="s">
        <v>25</v>
      </c>
      <c r="Y94" s="1" t="s">
        <v>20</v>
      </c>
      <c r="Z94" s="2" t="s">
        <v>25</v>
      </c>
      <c r="AA94" s="1" t="s">
        <v>25</v>
      </c>
      <c r="AB94" s="1" t="s">
        <v>25</v>
      </c>
      <c r="AC94" s="1" t="s">
        <v>25</v>
      </c>
      <c r="AD94" s="1" t="s">
        <v>25</v>
      </c>
      <c r="AE94" s="1" t="s">
        <v>25</v>
      </c>
      <c r="AF94" s="1" t="s">
        <v>25</v>
      </c>
      <c r="AG94" s="1"/>
      <c r="AH94" s="4" t="str">
        <f t="shared" si="3"/>
        <v>NR</v>
      </c>
      <c r="AI94" s="1" t="s">
        <v>25</v>
      </c>
      <c r="AJ94" s="2" t="s">
        <v>822</v>
      </c>
      <c r="AK94" s="2"/>
    </row>
    <row r="95" spans="1:37" ht="24.95" customHeight="1" x14ac:dyDescent="0.25">
      <c r="A95" s="1" t="s">
        <v>823</v>
      </c>
      <c r="B95" s="1">
        <v>27</v>
      </c>
      <c r="C95" s="1" t="s">
        <v>630</v>
      </c>
      <c r="D95" s="6" t="s">
        <v>824</v>
      </c>
      <c r="E95" s="1">
        <v>2023</v>
      </c>
      <c r="F95" s="6" t="s">
        <v>384</v>
      </c>
      <c r="G95" s="2" t="s">
        <v>825</v>
      </c>
      <c r="H95" s="1" t="s">
        <v>826</v>
      </c>
      <c r="I95" s="1" t="s">
        <v>33</v>
      </c>
      <c r="J95" s="1" t="s">
        <v>635</v>
      </c>
      <c r="K95" s="1" t="s">
        <v>360</v>
      </c>
      <c r="L95" s="1" t="s">
        <v>361</v>
      </c>
      <c r="M95" s="1" t="s">
        <v>10</v>
      </c>
      <c r="N95" s="1" t="s">
        <v>11</v>
      </c>
      <c r="O95" s="2" t="s">
        <v>827</v>
      </c>
      <c r="P95" s="1" t="s">
        <v>637</v>
      </c>
      <c r="Q95" s="1" t="s">
        <v>286</v>
      </c>
      <c r="R95" s="1" t="s">
        <v>75</v>
      </c>
      <c r="S95" s="1" t="s">
        <v>39</v>
      </c>
      <c r="T95" s="3" t="str">
        <f t="shared" si="2"/>
        <v>SIG multicriterio – Clasificación</v>
      </c>
      <c r="U95" s="1" t="s">
        <v>531</v>
      </c>
      <c r="V95" s="2" t="s">
        <v>769</v>
      </c>
      <c r="W95" s="1" t="s">
        <v>41</v>
      </c>
      <c r="X95" s="1" t="s">
        <v>42</v>
      </c>
      <c r="Y95" s="1" t="s">
        <v>20</v>
      </c>
      <c r="Z95" s="2" t="s">
        <v>25</v>
      </c>
      <c r="AA95" s="1" t="s">
        <v>25</v>
      </c>
      <c r="AB95" s="1" t="s">
        <v>25</v>
      </c>
      <c r="AC95" s="1" t="s">
        <v>25</v>
      </c>
      <c r="AD95" s="1" t="s">
        <v>25</v>
      </c>
      <c r="AE95" s="1" t="s">
        <v>25</v>
      </c>
      <c r="AF95" s="1" t="s">
        <v>25</v>
      </c>
      <c r="AG95" s="1"/>
      <c r="AH95" s="4" t="str">
        <f t="shared" si="3"/>
        <v>NR</v>
      </c>
      <c r="AI95" s="1" t="s">
        <v>25</v>
      </c>
      <c r="AJ95" s="2" t="s">
        <v>828</v>
      </c>
      <c r="AK95" s="2"/>
    </row>
    <row r="96" spans="1:37" ht="24.95" customHeight="1" x14ac:dyDescent="0.25">
      <c r="A96" s="1" t="s">
        <v>829</v>
      </c>
      <c r="B96" s="1">
        <v>29</v>
      </c>
      <c r="C96" s="1" t="s">
        <v>630</v>
      </c>
      <c r="D96" s="6" t="s">
        <v>830</v>
      </c>
      <c r="E96" s="1">
        <v>2022</v>
      </c>
      <c r="F96" s="6" t="s">
        <v>632</v>
      </c>
      <c r="G96" s="2" t="s">
        <v>831</v>
      </c>
      <c r="H96" s="1" t="s">
        <v>832</v>
      </c>
      <c r="I96" s="1" t="s">
        <v>100</v>
      </c>
      <c r="J96" s="1" t="s">
        <v>635</v>
      </c>
      <c r="K96" s="1" t="s">
        <v>833</v>
      </c>
      <c r="L96" s="1" t="s">
        <v>834</v>
      </c>
      <c r="M96" s="1" t="s">
        <v>10</v>
      </c>
      <c r="N96" s="1" t="s">
        <v>11</v>
      </c>
      <c r="O96" s="2" t="s">
        <v>835</v>
      </c>
      <c r="P96" s="1" t="s">
        <v>37</v>
      </c>
      <c r="Q96" s="1" t="s">
        <v>362</v>
      </c>
      <c r="R96" s="1" t="s">
        <v>15</v>
      </c>
      <c r="S96" s="1" t="s">
        <v>39</v>
      </c>
      <c r="T96" s="3" t="str">
        <f t="shared" si="2"/>
        <v>Machine learning – Clasificación</v>
      </c>
      <c r="U96" s="1" t="s">
        <v>448</v>
      </c>
      <c r="V96" s="2" t="s">
        <v>836</v>
      </c>
      <c r="W96" s="1" t="s">
        <v>41</v>
      </c>
      <c r="X96" s="1" t="s">
        <v>42</v>
      </c>
      <c r="Y96" s="1" t="s">
        <v>20</v>
      </c>
      <c r="Z96" s="2" t="s">
        <v>25</v>
      </c>
      <c r="AA96" s="1" t="s">
        <v>25</v>
      </c>
      <c r="AB96" s="1" t="s">
        <v>25</v>
      </c>
      <c r="AC96" s="1" t="s">
        <v>837</v>
      </c>
      <c r="AD96" s="1" t="s">
        <v>163</v>
      </c>
      <c r="AE96" s="1" t="s">
        <v>639</v>
      </c>
      <c r="AF96" s="1">
        <v>0.94710000000000005</v>
      </c>
      <c r="AG96" s="1"/>
      <c r="AH96" s="4" t="str">
        <f t="shared" si="3"/>
        <v>Excelente</v>
      </c>
      <c r="AI96" s="1" t="s">
        <v>25</v>
      </c>
      <c r="AJ96" s="2" t="s">
        <v>838</v>
      </c>
      <c r="AK96" s="2"/>
    </row>
    <row r="97" spans="1:37" ht="24.95" customHeight="1" x14ac:dyDescent="0.25">
      <c r="A97" s="1" t="s">
        <v>839</v>
      </c>
      <c r="B97" s="1">
        <v>30</v>
      </c>
      <c r="C97" s="1" t="s">
        <v>630</v>
      </c>
      <c r="D97" s="6" t="s">
        <v>840</v>
      </c>
      <c r="E97" s="1">
        <v>2021</v>
      </c>
      <c r="F97" s="6" t="s">
        <v>632</v>
      </c>
      <c r="G97" s="2" t="s">
        <v>841</v>
      </c>
      <c r="H97" s="1" t="s">
        <v>842</v>
      </c>
      <c r="I97" s="1" t="s">
        <v>100</v>
      </c>
      <c r="J97" s="1" t="s">
        <v>635</v>
      </c>
      <c r="K97" s="1" t="s">
        <v>843</v>
      </c>
      <c r="L97" s="1" t="s">
        <v>844</v>
      </c>
      <c r="M97" s="1" t="s">
        <v>845</v>
      </c>
      <c r="N97" s="1" t="s">
        <v>11</v>
      </c>
      <c r="O97" s="2" t="s">
        <v>844</v>
      </c>
      <c r="P97" s="1" t="s">
        <v>312</v>
      </c>
      <c r="Q97" s="1" t="s">
        <v>447</v>
      </c>
      <c r="R97" s="1" t="s">
        <v>15</v>
      </c>
      <c r="S97" s="1" t="s">
        <v>39</v>
      </c>
      <c r="T97" s="3" t="str">
        <f t="shared" si="2"/>
        <v>Clasificación y detección de cambios – Clasificación</v>
      </c>
      <c r="U97" s="1" t="s">
        <v>448</v>
      </c>
      <c r="V97" s="2" t="s">
        <v>846</v>
      </c>
      <c r="W97" s="1" t="s">
        <v>41</v>
      </c>
      <c r="X97" s="1" t="s">
        <v>42</v>
      </c>
      <c r="Y97" s="1" t="s">
        <v>20</v>
      </c>
      <c r="Z97" s="2" t="s">
        <v>25</v>
      </c>
      <c r="AA97" s="1" t="s">
        <v>25</v>
      </c>
      <c r="AB97" s="1" t="s">
        <v>25</v>
      </c>
      <c r="AC97" s="1" t="s">
        <v>25</v>
      </c>
      <c r="AD97" s="1" t="s">
        <v>25</v>
      </c>
      <c r="AE97" s="1" t="s">
        <v>847</v>
      </c>
      <c r="AF97" s="1">
        <v>0.91020000000000001</v>
      </c>
      <c r="AG97" s="1"/>
      <c r="AH97" s="4" t="str">
        <f t="shared" si="3"/>
        <v>Cumple el umbral</v>
      </c>
      <c r="AI97" s="1" t="s">
        <v>25</v>
      </c>
      <c r="AJ97" s="2" t="s">
        <v>848</v>
      </c>
      <c r="AK97" s="2"/>
    </row>
    <row r="98" spans="1:37" ht="24.95" customHeight="1" x14ac:dyDescent="0.25">
      <c r="A98" s="1" t="s">
        <v>849</v>
      </c>
      <c r="B98" s="1">
        <v>114</v>
      </c>
      <c r="C98" s="1" t="s">
        <v>505</v>
      </c>
      <c r="D98" s="6" t="s">
        <v>850</v>
      </c>
      <c r="E98" s="1">
        <v>2021</v>
      </c>
      <c r="F98" s="6" t="s">
        <v>851</v>
      </c>
      <c r="G98" s="2" t="s">
        <v>852</v>
      </c>
      <c r="H98" s="1" t="s">
        <v>853</v>
      </c>
      <c r="I98" s="1" t="s">
        <v>6</v>
      </c>
      <c r="J98" s="1" t="s">
        <v>509</v>
      </c>
      <c r="K98" s="1" t="s">
        <v>321</v>
      </c>
      <c r="L98" s="1" t="s">
        <v>322</v>
      </c>
      <c r="M98" s="1" t="s">
        <v>140</v>
      </c>
      <c r="N98" s="1" t="s">
        <v>323</v>
      </c>
      <c r="O98" s="2" t="s">
        <v>854</v>
      </c>
      <c r="P98" s="1" t="s">
        <v>312</v>
      </c>
      <c r="Q98" s="1" t="s">
        <v>324</v>
      </c>
      <c r="R98" s="1" t="s">
        <v>15</v>
      </c>
      <c r="S98" s="1" t="s">
        <v>39</v>
      </c>
      <c r="T98" s="3" t="str">
        <f t="shared" si="2"/>
        <v>Clasificación y detección de cambios – Clasificación</v>
      </c>
      <c r="U98" s="1" t="s">
        <v>325</v>
      </c>
      <c r="V98" s="2" t="s">
        <v>325</v>
      </c>
      <c r="W98" s="1" t="s">
        <v>41</v>
      </c>
      <c r="X98" s="1" t="s">
        <v>42</v>
      </c>
      <c r="Y98" s="1" t="s">
        <v>20</v>
      </c>
      <c r="Z98" s="2" t="s">
        <v>334</v>
      </c>
      <c r="AA98" s="1" t="s">
        <v>25</v>
      </c>
      <c r="AB98" s="1" t="s">
        <v>20</v>
      </c>
      <c r="AC98" s="1" t="s">
        <v>25</v>
      </c>
      <c r="AD98" s="1" t="s">
        <v>25</v>
      </c>
      <c r="AE98" s="1" t="s">
        <v>591</v>
      </c>
      <c r="AF98" s="1">
        <v>0.65</v>
      </c>
      <c r="AG98" s="1"/>
      <c r="AH98" s="4" t="str">
        <f t="shared" si="3"/>
        <v>Sustancial</v>
      </c>
      <c r="AI98" s="1" t="s">
        <v>25</v>
      </c>
      <c r="AJ98" s="2" t="s">
        <v>855</v>
      </c>
      <c r="AK98" s="2"/>
    </row>
  </sheetData>
  <mergeCells count="4">
    <mergeCell ref="A1:I1"/>
    <mergeCell ref="J1:O1"/>
    <mergeCell ref="P1:V1"/>
    <mergeCell ref="W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2026-10-15T22:48:42Z</dcterms:created>
  <dcterms:modified xsi:type="dcterms:W3CDTF">2026-10-15T22:55:00Z</dcterms:modified>
</cp:coreProperties>
</file>